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553A142F-2700-4EF3-834A-8CD677FD10FC}" xr6:coauthVersionLast="47" xr6:coauthVersionMax="47" xr10:uidLastSave="{00000000-0000-0000-0000-000000000000}"/>
  <bookViews>
    <workbookView xWindow="22932" yWindow="384" windowWidth="23256" windowHeight="12720" firstSheet="1" activeTab="6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Protuberances" sheetId="9" r:id="rId8"/>
    <sheet name="Skin roughnes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E11" i="10"/>
  <c r="E10" i="10"/>
  <c r="E9" i="10"/>
  <c r="E8" i="10"/>
  <c r="E7" i="10"/>
  <c r="D11" i="10"/>
  <c r="D10" i="10"/>
  <c r="D9" i="10"/>
  <c r="D8" i="10"/>
  <c r="D7" i="10"/>
  <c r="D18" i="8"/>
  <c r="D16" i="8"/>
  <c r="D17" i="8" s="1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6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<sst xmlns="http://schemas.openxmlformats.org/spreadsheetml/2006/main" count="207" uniqueCount="194">
  <si>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</si>
  <si>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</si>
  <si>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</si>
  <si>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</si>
  <si>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</si>
  <si>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</si>
  <si>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</si>
  <si>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</si>
  <si>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</si>
  <si>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</si>
  <si>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</si>
  <si>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</si>
  <si>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</si>
  <si>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</si>
  <si>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</si>
  <si>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</si>
  <si>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</si>
  <si>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</si>
  <si>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</si>
  <si>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</si>
  <si>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</si>
  <si>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</si>
  <si>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</si>
  <si>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</si>
  <si>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</si>
  <si>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</si>
  <si>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</si>
  <si>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</si>
  <si>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</si>
  <si>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</si>
  <si>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</si>
  <si>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</si>
  <si>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</si>
  <si>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</si>
  <si>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</si>
  <si>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</si>
  <si>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</si>
  <si>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</si>
  <si>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</si>
  <si>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</si>
  <si>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</si>
  <si>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</si>
  <si>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Geometry</t>
  </si>
  <si>
    <t>Diameter (ft)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</si>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</sst>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</cellXfs>
  <cellStyles count="1">
    <cellStyle name="Normal" xfId="0" builtinId="0"/>
  </cellStyles>
  <dxfs count="23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topLeftCell="A16"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2" priority="2">
      <formula>_xlfn.ISFORMULA(C14)</formula>
    </cfRule>
    <cfRule type="containsBlanks" dxfId="21" priority="3">
      <formula>LEN(TRIM(C14))=0</formula>
    </cfRule>
  </conditionalFormatting>
  <conditionalFormatting sqref="F23">
    <cfRule type="expression" dxfId="20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workbookViewId="0">
      <selection activeCell="H8" sqref="H8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183</v>
      </c>
      <c r="E5" s="7" t="s">
        <v>184</v>
      </c>
      <c r="F5" s="7" t="s">
        <v>185</v>
      </c>
      <c r="G5" s="7" t="s">
        <v>186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179</v>
      </c>
      <c r="D6" s="9" t="s">
        <v>192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180</v>
      </c>
      <c r="D7" s="12" t="s">
        <v>181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182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161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187</v>
      </c>
      <c r="D10" s="12" t="s">
        <v>188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15.75" thickBot="1" x14ac:dyDescent="0.3">
      <c r="C11" s="5"/>
      <c r="D11" s="12"/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19" priority="2">
      <formula>_xlfn.ISFORMULA(D6)</formula>
    </cfRule>
    <cfRule type="containsBlanks" dxfId="18" priority="3">
      <formula>LEN(TRIM(D6))=0</formula>
    </cfRule>
  </conditionalFormatting>
  <conditionalFormatting sqref="G15">
    <cfRule type="expression" dxfId="17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0"/>
  <sheetViews>
    <sheetView zoomScale="85" zoomScaleNormal="85" workbookViewId="0">
      <selection activeCell="C22" sqref="C22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139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140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153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154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176</v>
      </c>
      <c r="C37" s="19" t="s">
        <v>177</v>
      </c>
      <c r="D37" s="20" t="s">
        <v>178</v>
      </c>
      <c r="E37" s="20" t="s">
        <v>178</v>
      </c>
      <c r="F37" s="20" t="s">
        <v>178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189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190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/>
      <c r="C40" s="12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</sheetData>
  <conditionalFormatting sqref="C14:N40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148</v>
      </c>
      <c r="D13" s="6" t="s">
        <v>9</v>
      </c>
      <c r="E13" s="7" t="s">
        <v>147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191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44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149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150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151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154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1">
      <formula>ISNOTFORMULA(C14)</formula>
    </cfRule>
    <cfRule type="expression" dxfId="12" priority="2">
      <formula>_xlfn.ISFORMULA(C14)</formula>
    </cfRule>
    <cfRule type="containsBlanks" dxfId="11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4" workbookViewId="0">
      <selection activeCell="H13" sqref="H13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/>
      <c r="D13" s="7" t="s">
        <v>30</v>
      </c>
      <c r="E13" s="7" t="s">
        <v>31</v>
      </c>
      <c r="F13" s="7" t="s">
        <v>42</v>
      </c>
      <c r="G13" s="7" t="s">
        <v>146</v>
      </c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/>
      <c r="D14" s="9">
        <v>15000</v>
      </c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43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146</v>
      </c>
      <c r="C19" s="12"/>
      <c r="D19" s="12"/>
      <c r="E19" s="12"/>
      <c r="F19" s="12"/>
      <c r="G19" s="10">
        <v>0.63</v>
      </c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0" priority="2">
      <formula>_xlfn.ISFORMULA(C14)</formula>
    </cfRule>
    <cfRule type="containsBlanks" dxfId="9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tabSelected="1" workbookViewId="0">
      <selection activeCell="C8" sqref="C8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152</v>
      </c>
      <c r="E3" s="7" t="s">
        <v>145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193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134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135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136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137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45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46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47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48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49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138</v>
      </c>
      <c r="C17" s="12"/>
      <c r="D17" s="12">
        <f>D16/D18</f>
        <v>5.7142857142857144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50</v>
      </c>
      <c r="C18" s="12"/>
      <c r="D18" s="12">
        <f>Wings!E30</f>
        <v>7.0000000000000007E-2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51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52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53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54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55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56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57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58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59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60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61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62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63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64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65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66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67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68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69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70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71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72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73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74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75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76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77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78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79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80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81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82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83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84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85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86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87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88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89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90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91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92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93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144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94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95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96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97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98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99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100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101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102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103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104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105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106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107</v>
      </c>
      <c r="C76" s="12"/>
      <c r="D76" s="10">
        <f>108</f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108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109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110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111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112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113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114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115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116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117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118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119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120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121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122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123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124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125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126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127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128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129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130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131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132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133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141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142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143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145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8" priority="2">
      <formula>_xlfn.ISFORMULA(C4)</formula>
    </cfRule>
    <cfRule type="containsBlanks" dxfId="7" priority="3">
      <formula>LEN(TRIM(C4))=0</formula>
    </cfRule>
  </conditionalFormatting>
  <conditionalFormatting sqref="F16:F17">
    <cfRule type="expression" dxfId="6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155</v>
      </c>
      <c r="F10" s="7" t="s">
        <v>159</v>
      </c>
      <c r="G10" s="7" t="s">
        <v>173</v>
      </c>
      <c r="H10" s="7" t="s">
        <v>174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157</v>
      </c>
      <c r="E11" s="9" t="s">
        <v>156</v>
      </c>
      <c r="F11" s="9" t="s">
        <v>158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172</v>
      </c>
      <c r="E12" s="12" t="s">
        <v>162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160</v>
      </c>
      <c r="E13" s="12" t="s">
        <v>156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175</v>
      </c>
      <c r="E14" s="12" t="s">
        <v>162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170</v>
      </c>
      <c r="E15" s="12" t="s">
        <v>162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171</v>
      </c>
      <c r="E16" s="12" t="s">
        <v>162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164</v>
      </c>
      <c r="E6" s="7" t="s">
        <v>163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165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166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167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168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169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2026-04-23T13:50:02Z</dcterms:modified>
</cp:coreProperties>
</file>