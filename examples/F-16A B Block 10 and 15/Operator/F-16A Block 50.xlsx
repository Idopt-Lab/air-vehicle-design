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EC94930B-E524-4053-BC56-089E35F94CB4}" xr6:coauthVersionLast="47" xr6:coauthVersionMax="47" xr10:uidLastSave="{00000000-0000-0000-0000-000000000000}"/>
  <bookViews>
    <workbookView xWindow="22932" yWindow="384" windowWidth="23256" windowHeight="12720" activeTab="2" xr2:uid="{5F5D00AF-8D4A-4BC4-9FDA-F17071C88D94}"/>
  </bookViews>
  <sheets>
    <sheet name="Sheet1" sheetId="1" r:id="rId1"/>
    <sheet name="FORMAT" sheetId="6" r:id="rId2"/>
    <sheet name="Wings" sheetId="2" r:id="rId3"/>
    <sheet name="Fuselage" sheetId="5" r:id="rId4"/>
    <sheet name="Propulsion" sheetId="7" r:id="rId5"/>
    <sheet name="Weight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5" l="1"/>
  <c r="D20" i="5"/>
  <c r="E19" i="5"/>
  <c r="D19" i="5"/>
  <c r="D14" i="5"/>
  <c r="E14" i="5"/>
  <c r="D95" i="8"/>
  <c r="D17" i="8"/>
  <c r="D15" i="8"/>
  <c r="D16" i="8" s="1"/>
  <c r="D105" i="8"/>
  <c r="D104" i="8"/>
  <c r="D103" i="8"/>
  <c r="D102" i="8"/>
  <c r="D101" i="8"/>
  <c r="D100" i="8"/>
  <c r="D99" i="8"/>
  <c r="D98" i="8"/>
  <c r="D96" i="8"/>
  <c r="D93" i="8"/>
  <c r="D92" i="8"/>
  <c r="D89" i="8"/>
  <c r="D87" i="8"/>
  <c r="D85" i="8"/>
  <c r="D79" i="8" l="1"/>
  <c r="D74" i="8"/>
  <c r="D75" i="8"/>
  <c r="D72" i="8"/>
  <c r="D71" i="8" l="1"/>
  <c r="D61" i="8"/>
  <c r="D53" i="8"/>
  <c r="D52" i="8"/>
  <c r="D34" i="2"/>
  <c r="E34" i="2"/>
  <c r="F34" i="2"/>
  <c r="C34" i="2"/>
  <c r="D33" i="2"/>
  <c r="E33" i="2"/>
  <c r="F33" i="2"/>
  <c r="C33" i="2"/>
  <c r="D50" i="8" l="1"/>
  <c r="D49" i="8"/>
  <c r="D48" i="8"/>
  <c r="D47" i="8"/>
  <c r="D44" i="8"/>
  <c r="D43" i="8"/>
  <c r="D42" i="8"/>
  <c r="D41" i="8"/>
  <c r="D10" i="8"/>
  <c r="D11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D40" i="8" l="1"/>
  <c r="E106" i="8"/>
  <c r="D18" i="8" s="1"/>
  <c r="C23" i="2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</calcChain>
</file>

<file path=xl/sharedStrings.xml><?xml version="1.0" encoding="utf-8"?>
<sst xmlns="http://schemas.openxmlformats.org/spreadsheetml/2006/main" count="161" uniqueCount="155">
  <si>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</si>
  <si>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</si>
  <si>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</si>
  <si>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</si>
  <si>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</si>
  <si>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</si>
  <si>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</si>
  <si>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</si>
  <si>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</si>
  <si>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</si>
  <si>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</si>
  <si>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</si>
  <si>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</si>
  <si>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</si>
  <si>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</si>
  <si>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</si>
  <si>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</si>
  <si>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</si>
  <si>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</si>
  <si>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</si>
  <si>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</si>
  <si>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</si>
  <si>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</si>
  <si>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</si>
  <si>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</si>
  <si>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</si>
  <si>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</si>
  <si>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</si>
  <si>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</si>
  <si>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</si>
  <si>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</si>
  <si>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</si>
  <si>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</si>
  <si>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</si>
  <si>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</si>
  <si>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</si>
  <si>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</si>
  <si>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</si>
  <si>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</si>
  <si>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</si>
  <si>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</si>
  <si>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</si>
  <si>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Geometry</t>
  </si>
  <si>
    <t>Diameter (ft)</t>
  </si>
  <si>
    <t>Structural depth (ft)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</si>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</sst>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</cellXfs>
  <cellStyles count="1">
    <cellStyle name="Normal" xfId="0" builtinId="0"/>
  </cellStyles>
  <dxfs count="14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workbookViewId="0">
      <selection activeCell="F9" sqref="F9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3" priority="2">
      <formula>_xlfn.ISFORMULA(C14)</formula>
    </cfRule>
    <cfRule type="containsBlanks" dxfId="12" priority="3">
      <formula>LEN(TRIM(C14))=0</formula>
    </cfRule>
  </conditionalFormatting>
  <conditionalFormatting sqref="F23">
    <cfRule type="expression" dxfId="11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37"/>
  <sheetViews>
    <sheetView tabSelected="1" topLeftCell="A16" zoomScale="85" zoomScaleNormal="85" workbookViewId="0">
      <selection activeCell="O22" sqref="O22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v>0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140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141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154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0" priority="1">
      <formula>ISNOTFORMULA(C14)</formula>
    </cfRule>
    <cfRule type="expression" dxfId="9" priority="2">
      <formula>_xlfn.ISFORMULA(C14)</formula>
    </cfRule>
    <cfRule type="containsBlanks" dxfId="8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G19" sqref="G19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149</v>
      </c>
      <c r="D13" s="6" t="s">
        <v>9</v>
      </c>
      <c r="E13" s="7" t="s">
        <v>148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48.43</v>
      </c>
      <c r="D14" s="9">
        <f>C14*(2/3)</f>
        <v>32.286666666666662</v>
      </c>
      <c r="E14" s="9">
        <f>C14/3</f>
        <v>16.143333333333334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44</v>
      </c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45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150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151</v>
      </c>
      <c r="C19" s="12"/>
      <c r="D19" s="12">
        <f>D14*D15</f>
        <v>242.14999999999998</v>
      </c>
      <c r="E19" s="12">
        <f>(1/2)*E15*E14</f>
        <v>56.501666666666672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152</v>
      </c>
      <c r="C20" s="12"/>
      <c r="D20" s="12">
        <f>D19</f>
        <v>242.14999999999998</v>
      </c>
      <c r="E20" s="12">
        <f>E19</f>
        <v>56.501666666666672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7" priority="1">
      <formula>ISNOTFORMULA(C14)</formula>
    </cfRule>
    <cfRule type="expression" dxfId="6" priority="2">
      <formula>_xlfn.ISFORMULA(C14)</formula>
    </cfRule>
    <cfRule type="containsBlanks" dxfId="5" priority="3">
      <formula>LEN(TRIM(C14))=0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4" workbookViewId="0">
      <selection activeCell="H13" sqref="H13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/>
      <c r="D13" s="7" t="s">
        <v>30</v>
      </c>
      <c r="E13" s="7" t="s">
        <v>31</v>
      </c>
      <c r="F13" s="7" t="s">
        <v>42</v>
      </c>
      <c r="G13" s="7" t="s">
        <v>147</v>
      </c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/>
      <c r="D14" s="9">
        <v>15000</v>
      </c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43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147</v>
      </c>
      <c r="C19" s="12"/>
      <c r="D19" s="12"/>
      <c r="E19" s="12"/>
      <c r="F19" s="12"/>
      <c r="G19" s="10">
        <v>0.63</v>
      </c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4" priority="2">
      <formula>_xlfn.ISFORMULA(C14)</formula>
    </cfRule>
    <cfRule type="containsBlanks" dxfId="3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6"/>
  <sheetViews>
    <sheetView workbookViewId="0">
      <selection activeCell="D4" sqref="D4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153</v>
      </c>
      <c r="E3" s="7" t="s">
        <v>146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x14ac:dyDescent="0.25">
      <c r="B7" s="4" t="s">
        <v>135</v>
      </c>
      <c r="C7" s="12"/>
      <c r="D7" s="12">
        <v>3</v>
      </c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136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137</v>
      </c>
      <c r="C9" s="12"/>
      <c r="D9" s="12">
        <v>1.6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138</v>
      </c>
      <c r="C10" s="12"/>
      <c r="D10" s="12">
        <f>Wings!D14</f>
        <v>18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46</v>
      </c>
      <c r="C11" s="12"/>
      <c r="D11" s="12">
        <f>Wings!C14</f>
        <v>30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47</v>
      </c>
      <c r="C12" s="12"/>
      <c r="D12" s="12">
        <v>7.5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ht="15.75" thickBot="1" x14ac:dyDescent="0.3">
      <c r="B13" s="5" t="s">
        <v>48</v>
      </c>
      <c r="C13" s="12"/>
      <c r="D13" s="12">
        <v>3.45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49</v>
      </c>
      <c r="C14" s="12"/>
      <c r="D14" s="12">
        <v>7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50</v>
      </c>
      <c r="C15" s="12"/>
      <c r="D15" s="12">
        <f>Wings!D31</f>
        <v>0.4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139</v>
      </c>
      <c r="C16" s="12"/>
      <c r="D16" s="12">
        <f>D15/D17</f>
        <v>5.7142857142857144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51</v>
      </c>
      <c r="C17" s="12"/>
      <c r="D17" s="12">
        <f>Wings!E30</f>
        <v>7.0000000000000007E-2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52</v>
      </c>
      <c r="C18" s="12"/>
      <c r="D18" s="12">
        <f>E106</f>
        <v>104.90516395377779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53</v>
      </c>
      <c r="C19" s="12"/>
      <c r="D19" s="12">
        <v>1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54</v>
      </c>
      <c r="C20" s="12"/>
      <c r="D20" s="12">
        <v>3.43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55</v>
      </c>
      <c r="C21" s="12"/>
      <c r="D21" s="12">
        <v>1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56</v>
      </c>
      <c r="C22" s="12"/>
      <c r="D22" s="12">
        <v>0.76800000000000002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57</v>
      </c>
      <c r="C23" s="12"/>
      <c r="D23" s="12">
        <v>0.77400000000000002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58</v>
      </c>
      <c r="C24" s="12"/>
      <c r="D24" s="12">
        <v>0.12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59</v>
      </c>
      <c r="C25" s="12"/>
      <c r="D25" s="10">
        <v>1.1200000000000001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60</v>
      </c>
      <c r="C26" s="12"/>
      <c r="D26" s="10">
        <v>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61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62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63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64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65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17" t="s">
        <v>66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x14ac:dyDescent="0.25">
      <c r="B33" s="2" t="s">
        <v>67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4" t="s">
        <v>68</v>
      </c>
      <c r="C34" s="12"/>
      <c r="D34" s="10">
        <v>0.82599999999999996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69</v>
      </c>
      <c r="C35" s="12"/>
      <c r="D35" s="10">
        <v>1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70</v>
      </c>
      <c r="C36" s="12"/>
      <c r="D36" s="10">
        <v>1.143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71</v>
      </c>
      <c r="C37" s="12"/>
      <c r="D37" s="10">
        <v>1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72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73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74</v>
      </c>
      <c r="C40" s="12"/>
      <c r="D40" s="10">
        <f>0.75*((1+2*Wings!C18)/(1+Wings!C18))*(Wings!C14/D47)*(TAN(Wings!C15*PI()/180))</f>
        <v>0.69322528764551838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75</v>
      </c>
      <c r="C41" s="12"/>
      <c r="D41" s="10">
        <f>0.3*D52</f>
        <v>0.71174999999999999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76</v>
      </c>
      <c r="C42" s="12"/>
      <c r="D42" s="10">
        <f>D52</f>
        <v>2.3725000000000001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77</v>
      </c>
      <c r="C43" s="12"/>
      <c r="D43" s="10">
        <f>Fuselage!D14</f>
        <v>32.286666666666662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78</v>
      </c>
      <c r="C44" s="12"/>
      <c r="D44" s="10">
        <f>15*5280</f>
        <v>79200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79</v>
      </c>
      <c r="C45" s="12"/>
      <c r="D45" s="10">
        <v>15.92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80</v>
      </c>
      <c r="C46" s="12"/>
      <c r="D46" s="10">
        <v>0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81</v>
      </c>
      <c r="C47" s="12"/>
      <c r="D47" s="10">
        <f>Fuselage!D14</f>
        <v>32.286666666666662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82</v>
      </c>
      <c r="C48" s="12"/>
      <c r="D48" s="10">
        <f>5.3*12</f>
        <v>63.599999999999994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83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84</v>
      </c>
      <c r="C50" s="12"/>
      <c r="D50" s="10">
        <f>D45</f>
        <v>15.92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85</v>
      </c>
      <c r="C51" s="12"/>
      <c r="D51" s="10">
        <v>1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86</v>
      </c>
      <c r="C52" s="12"/>
      <c r="D52" s="10">
        <f>Wings!C34-Wings!D34</f>
        <v>2.3725000000000001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87</v>
      </c>
      <c r="C53" s="12"/>
      <c r="D53" s="10">
        <f>36-17.79</f>
        <v>18.21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88</v>
      </c>
      <c r="C54" s="12"/>
      <c r="D54" s="10">
        <v>1.6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89</v>
      </c>
      <c r="C55" s="12"/>
      <c r="D55" s="10">
        <v>1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90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91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92</v>
      </c>
      <c r="C58" s="12"/>
      <c r="D58" s="10">
        <v>4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93</v>
      </c>
      <c r="C59" s="12"/>
      <c r="D59" s="10">
        <v>1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94</v>
      </c>
      <c r="C60" s="12"/>
      <c r="D60" s="10">
        <v>15.69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145</v>
      </c>
      <c r="C61" s="12"/>
      <c r="D61" s="10">
        <f>3*1.5</f>
        <v>4.5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95</v>
      </c>
      <c r="C62" s="12"/>
      <c r="D62" s="10">
        <v>3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96</v>
      </c>
      <c r="C63" s="12"/>
      <c r="D63" s="10">
        <v>2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97</v>
      </c>
      <c r="C64" s="12"/>
      <c r="D64" s="10">
        <v>1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98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99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100</v>
      </c>
      <c r="C67" s="12"/>
      <c r="D67" s="10">
        <v>4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101</v>
      </c>
      <c r="C68" s="12"/>
      <c r="D68" s="10">
        <v>7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102</v>
      </c>
      <c r="C69" s="12"/>
      <c r="D69" s="10">
        <v>5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103</v>
      </c>
      <c r="C70" s="12"/>
      <c r="D70" s="10">
        <v>3.69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104</v>
      </c>
      <c r="C71" s="12"/>
      <c r="D71" s="10">
        <f>1.5*9.5</f>
        <v>14.25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105</v>
      </c>
      <c r="C72" s="12"/>
      <c r="D72" s="10">
        <f>208</f>
        <v>208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106</v>
      </c>
      <c r="C73" s="12"/>
      <c r="D73" s="10">
        <v>110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107</v>
      </c>
      <c r="C74" s="12"/>
      <c r="D74" s="10">
        <f>108+24+21.31+24+60</f>
        <v>237.31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108</v>
      </c>
      <c r="C75" s="12"/>
      <c r="D75" s="10">
        <f>108</f>
        <v>108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109</v>
      </c>
      <c r="C76" s="12"/>
      <c r="D76" s="10"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110</v>
      </c>
      <c r="C77" s="12"/>
      <c r="D77" s="10">
        <v>730.42200000000003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111</v>
      </c>
      <c r="C78" s="12"/>
      <c r="D78" s="10">
        <v>0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112</v>
      </c>
      <c r="C79" s="12"/>
      <c r="D79" s="10">
        <f>D76</f>
        <v>108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113</v>
      </c>
      <c r="C80" s="12"/>
      <c r="D80" s="10">
        <v>41.515000000000001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114</v>
      </c>
      <c r="C81" s="12"/>
      <c r="D81" s="10">
        <v>60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115</v>
      </c>
      <c r="C82" s="12"/>
      <c r="D82" s="10">
        <v>200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116</v>
      </c>
      <c r="C83" s="12"/>
      <c r="D83" s="10">
        <v>60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117</v>
      </c>
      <c r="C84" s="12"/>
      <c r="D84" s="10">
        <v>300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118</v>
      </c>
      <c r="C85" s="12"/>
      <c r="D85" s="10">
        <f>1.708</f>
        <v>1.708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119</v>
      </c>
      <c r="C86" s="12"/>
      <c r="D86" s="10">
        <v>23770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120</v>
      </c>
      <c r="C87" s="12"/>
      <c r="D87" s="10">
        <f>D86*D57</f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12</v>
      </c>
      <c r="C88" s="12"/>
      <c r="D88" s="10">
        <v>0.04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121</v>
      </c>
      <c r="C89" s="12"/>
      <c r="D89" s="10">
        <f>(6950-2300*2)*(1/6.8)</f>
        <v>345.58823529411768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122</v>
      </c>
      <c r="C90" s="12"/>
      <c r="D90" s="10">
        <v>0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123</v>
      </c>
      <c r="C91" s="12"/>
      <c r="D91" s="10">
        <v>300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124</v>
      </c>
      <c r="C92" s="12"/>
      <c r="D92" s="10">
        <f>6950*(1/6.8)</f>
        <v>1022.0588235294118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125</v>
      </c>
      <c r="C93" s="12"/>
      <c r="D93" s="10">
        <f>Fuselage!D15</f>
        <v>7.5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126</v>
      </c>
      <c r="C94" s="12"/>
      <c r="D94" s="10">
        <v>5100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127</v>
      </c>
      <c r="C95" s="12"/>
      <c r="D95" s="10">
        <f>0.6*D89*6.8</f>
        <v>1410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128</v>
      </c>
      <c r="C96" s="12"/>
      <c r="D96" s="10">
        <f>2.331*(4730.23)^(0.901) *D30*D35</f>
        <v>4771.0194615715218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129</v>
      </c>
      <c r="C97" s="12"/>
      <c r="D97" s="10">
        <v>4730.2299999999996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130</v>
      </c>
      <c r="C98" s="12"/>
      <c r="D98" s="10">
        <f>1050</f>
        <v>1050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131</v>
      </c>
      <c r="C99" s="12"/>
      <c r="D99" s="10">
        <f>0.6688*30000</f>
        <v>20064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132</v>
      </c>
      <c r="C100" s="12"/>
      <c r="D100" s="10">
        <f>11.9*(D91*8*12^2)^(0.271)</f>
        <v>377.13812992987448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133</v>
      </c>
      <c r="C101" s="12"/>
      <c r="D101" s="10">
        <f>700</f>
        <v>700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ht="30" x14ac:dyDescent="0.25">
      <c r="B102" s="4" t="s">
        <v>134</v>
      </c>
      <c r="C102" s="12"/>
      <c r="D102" s="10">
        <f>Wings!C15</f>
        <v>40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.75" thickBot="1" x14ac:dyDescent="0.3">
      <c r="B103" s="5" t="s">
        <v>142</v>
      </c>
      <c r="C103" s="12"/>
      <c r="D103" s="10">
        <f>Wings!C18</f>
        <v>0.22774708410067526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143</v>
      </c>
      <c r="C104" s="12"/>
      <c r="D104" s="10">
        <f>Wings!D18</f>
        <v>0.22699386503067487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144</v>
      </c>
      <c r="C105" s="12"/>
      <c r="D105" s="10">
        <f>Wings!E18</f>
        <v>0.5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15.75" thickBot="1" x14ac:dyDescent="0.3">
      <c r="B106" s="5" t="s">
        <v>146</v>
      </c>
      <c r="C106" s="12"/>
      <c r="D106" s="10"/>
      <c r="E106" s="10">
        <f>((D11+D47)/2)^2 * ((D54*0.52^2)/4)</f>
        <v>104.90516395377779</v>
      </c>
      <c r="F106" s="10"/>
      <c r="G106" s="10"/>
      <c r="H106" s="10"/>
      <c r="I106" s="10"/>
      <c r="J106" s="10"/>
      <c r="K106" s="10"/>
      <c r="L106" s="10"/>
      <c r="M106" s="10"/>
      <c r="N106" s="10"/>
    </row>
  </sheetData>
  <conditionalFormatting sqref="C4:N106">
    <cfRule type="expression" dxfId="2" priority="2">
      <formula>_xlfn.ISFORMULA(C4)</formula>
    </cfRule>
    <cfRule type="containsBlanks" dxfId="1" priority="3">
      <formula>LEN(TRIM(C4))=0</formula>
    </cfRule>
  </conditionalFormatting>
  <conditionalFormatting sqref="F16:F17">
    <cfRule type="expression" dxfId="0" priority="1">
      <formula>ISNOTFORMULA(C3)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FORMAT</vt:lpstr>
      <vt:lpstr>Wings</vt:lpstr>
      <vt:lpstr>Fuselage</vt:lpstr>
      <vt:lpstr>Propulsion</vt:lpstr>
      <vt:lpstr>Weights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2026-04-14T12:42:47Z</dcterms:modified>
</cp:coreProperties>
</file>