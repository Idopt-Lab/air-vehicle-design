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19A2DDDB-6907-4616-B064-517782ED7816}" xr6:coauthVersionLast="47" xr6:coauthVersionMax="47" xr10:uidLastSave="{00000000-0000-0000-0000-000000000000}"/>
  <bookViews>
    <workbookView xWindow="22932" yWindow="384" windowWidth="23256" windowHeight="12720" firstSheet="1" activeTab="3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Stability&amp;Control" sheetId="12" r:id="rId8"/>
    <sheet name="Protuberances" sheetId="9" r:id="rId9"/>
    <sheet name="Skin roughnes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/>
  <c r="D16" i="8"/>
  <c r="F20" i="7"/>
  <c r="C28" i="2"/>
  <c r="E11" i="10"/>
  <c r="E10" i="10"/>
  <c r="E9" i="10"/>
  <c r="E8" i="10"/>
  <c r="E7" i="10"/>
  <c r="D11" i="10"/>
  <c r="D10" i="10"/>
  <c r="D9" i="10"/>
  <c r="D8" i="10"/>
  <c r="D7" i="10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<sst xmlns="http://schemas.openxmlformats.org/spreadsheetml/2006/main" count="247" uniqueCount="232">
  <si>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</si>
  <si>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</si>
  <si>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</si>
  <si>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</si>
  <si>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</si>
  <si>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</si>
  <si>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</si>
  <si>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</si>
  <si>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</si>
  <si>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</si>
  <si>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</si>
  <si>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</si>
  <si>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</si>
  <si>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</si>
  <si>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</si>
  <si>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</si>
  <si>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</si>
  <si>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</si>
  <si>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</si>
  <si>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</si>
  <si>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</si>
  <si>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</si>
  <si>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</si>
  <si>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</si>
  <si>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</si>
  <si>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</si>
  <si>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</si>
  <si>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</si>
  <si>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</si>
  <si>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</si>
  <si>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</si>
  <si>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</si>
  <si>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</si>
  <si>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</si>
  <si>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</si>
  <si>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</si>
  <si>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</si>
  <si>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</si>
  <si>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</si>
  <si>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</si>
  <si>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</si>
  <si>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</si>
  <si>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</si>
  <si>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</si>
  <si>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</si>
  <si>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</si>
  <si>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</si>
  <si>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</si>
  <si>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</si>
  <si>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</si>
  <si>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</si>
  <si>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</si>
  <si>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</si>
  <si>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</si>
  <si>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</si>
  <si>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</si>
  <si>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</si>
  <si>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</si>
  <si>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</si>
  <si>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</si>
  <si>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</si>
  <si>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</si>
  <si>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</si>
  <si>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</si>
  <si>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</si>
  <si>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</si>
  <si>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</si>
  <si>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</si>
  <si>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</si>
  <si>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</si>
  <si>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</si>
  <si>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</si>
  <si>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</si>
  <si>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</si>
  <si>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</si>
  <si>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</si>
  <si>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</si>
  <si>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</si>
  <si>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</si>
  <si>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</si>
  <si>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</si>
  <si>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</si>
  <si>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</si>
  <si>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</si>
  <si>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</si>
  <si>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</si>
  <si>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</si>
  <si>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</si>
  <si>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</si>
  <si>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</si>
  <si>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</si>
  <si>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</si>
  <si>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</si>
  <si>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</si>
  <si>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</si>
  <si>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</si>
  <si>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</si>
  <si>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</si>
  <si>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</si>
  <si>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</si>
  <si>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</si>
  <si>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</si>
  <si>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</si>
  <si>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</si>
  <si>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</si>
  <si>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</si>
  <si>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</si>
  <si>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</si>
  <si>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</si>
  <si>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</si>
  <si>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</si>
  <si>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</si>
  <si>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</si>
  <si>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</si>
  <si>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</si>
  <si>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</si>
  <si>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</si>
  <si>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</si>
  <si>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</si>
  <si>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</si>
  <si>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</si>
  <si>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</si>
  <si>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</si>
  <si>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</si>
  <si>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</si>
  <si>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</si>
  <si>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</si>
  <si>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</si>
  <si>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</si>
  <si>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</si>
  <si>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</si>
  <si>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</si>
  <si>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</si>
  <si>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</si>
  <si>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</si>
  <si>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</si>
  <si>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</si>
  <si>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</si>
  <si>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</si>
  <si>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</si>
  <si>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</si>
  <si>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</si>
  <si>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</si>
  <si>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</si>
  <si>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</si>
  <si>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</si>
  <si>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</si>
  <si>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</si>
  <si>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</si>
  <si>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</si>
  <si>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</si>
  <si>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</si>
  <si>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</si>
  <si>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</si>
  <si>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</si>
  <si>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</si>
  <si>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</si>
  <si>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</si>
  <si>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</si>
  <si>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</si>
  <si>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</si>
  <si>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</si>
  <si>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</si>
  <si>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</si>
  <si>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</si>
  <si>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</si>
  <si>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</si>
  <si>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</si>
  <si>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</si>
  <si>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</si>
  <si>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</si>
  <si>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</si>
  <si>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</si>
  <si>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</si>
  <si>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</si>
  <si>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</si>
  <si>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</si>
  <si>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</si>
  <si>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</si>
  <si>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</si>
  <si>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</si>
  <si>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</si>
  <si>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</si>
  <si>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</si>
  <si>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</si>
  <si>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</si>
  <si>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</si>
  <si>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</si>
  <si>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</si>
  <si>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</si>
  <si>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</si>
  <si>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</si>
  <si>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</si>
  <si>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</si>
  <si>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</si>
  <si>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</si>
  <si>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</si>
  <si>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</si>
  <si>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</si>
  <si>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</si>
  <si>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</si>
  <si>
    <t>fuel_type</t>
  </si>
  <si>
    <t>JP-4</t>
  </si>
  <si>
    <t>Wing</t>
  </si>
  <si>
    <t>HT</t>
  </si>
  <si>
    <t>VT</t>
  </si>
  <si>
    <t>Nacelles</t>
  </si>
  <si>
    <t>Engine</t>
  </si>
  <si>
    <t>Gear</t>
  </si>
  <si>
    <t>Inlet duct</t>
  </si>
  <si>
    <t>Controls</t>
  </si>
  <si>
    <t>Electrical</t>
  </si>
  <si>
    <t>Hydraulics</t>
  </si>
  <si>
    <t>ECS</t>
  </si>
  <si>
    <t>Other</t>
  </si>
  <si>
    <t>Avionics</t>
  </si>
  <si>
    <t>Fixed Payload</t>
  </si>
  <si>
    <t>Exp Payload 1</t>
  </si>
  <si>
    <t>Exp Payload 2</t>
  </si>
  <si>
    <t>Fuel 1</t>
  </si>
  <si>
    <t>Fuel 2</t>
  </si>
  <si>
    <t>Fuel 3</t>
  </si>
  <si>
    <t>Weight (lbf)</t>
  </si>
  <si>
    <t>CG X-Location (fT)</t>
  </si>
  <si>
    <t>X-MAC</t>
  </si>
  <si>
    <t>Y-MAC</t>
  </si>
  <si>
    <t>Inlet area</t>
  </si>
  <si>
    <t>Inlet Area</t>
  </si>
  <si>
    <t>Kfus</t>
  </si>
  <si>
    <t>x location</t>
  </si>
  <si>
    <t>Armaments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</si>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</sst>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  <xf numFmtId="0" fontId="0" fillId="3" borderId="7" xfId="0" quotePrefix="1" applyFill="1" applyBorder="1" applyAlignment="1">
      <alignment wrapText="1"/>
    </xf>
  </cellXfs>
  <cellStyles count="1">
    <cellStyle name="Normal" xfId="0" builtinId="0"/>
  </cellStyles>
  <dxfs count="26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5" priority="2">
      <formula>_xlfn.ISFORMULA(C14)</formula>
    </cfRule>
    <cfRule type="containsBlanks" dxfId="24" priority="3">
      <formula>LEN(TRIM(C14))=0</formula>
    </cfRule>
  </conditionalFormatting>
  <conditionalFormatting sqref="F23">
    <cfRule type="expression" dxfId="23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workbookViewId="0">
      <selection activeCell="B10" sqref="B10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 t="s">
        <v>201</v>
      </c>
      <c r="D14" s="12" t="s">
        <v>202</v>
      </c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22" priority="2">
      <formula>_xlfn.ISFORMULA(D6)</formula>
    </cfRule>
    <cfRule type="containsBlanks" dxfId="21" priority="3">
      <formula>LEN(TRIM(D6))=0</formula>
    </cfRule>
  </conditionalFormatting>
  <conditionalFormatting sqref="G15">
    <cfRule type="expression" dxfId="20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2"/>
  <sheetViews>
    <sheetView tabSelected="1" topLeftCell="A10" zoomScale="85" zoomScaleNormal="85" workbookViewId="0">
      <selection activeCell="W29" sqref="W29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 t="s">
        <v>229</v>
      </c>
      <c r="C40" s="12">
        <v>17.79</v>
      </c>
      <c r="D40" s="10">
        <v>36</v>
      </c>
      <c r="E40" s="10">
        <v>36</v>
      </c>
      <c r="F40" s="10">
        <v>12</v>
      </c>
      <c r="G40" s="10"/>
      <c r="H40" s="10"/>
      <c r="I40" s="10"/>
      <c r="J40" s="10"/>
      <c r="K40" s="10"/>
      <c r="L40" s="10"/>
      <c r="M40" s="10"/>
      <c r="N40" s="10"/>
    </row>
    <row r="41" spans="2:14" ht="15.75" thickBot="1" x14ac:dyDescent="0.3">
      <c r="B41" s="5" t="s">
        <v>228</v>
      </c>
      <c r="C41" s="12">
        <v>0.06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ht="15.75" thickBot="1" x14ac:dyDescent="0.3">
      <c r="B42" s="5"/>
      <c r="C42" s="12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</sheetData>
  <conditionalFormatting sqref="C14:N42">
    <cfRule type="expression" dxfId="19" priority="1">
      <formula>ISNOTFORMULA(C14)</formula>
    </cfRule>
    <cfRule type="expression" dxfId="18" priority="2">
      <formula>_xlfn.ISFORMULA(C14)</formula>
    </cfRule>
    <cfRule type="containsBlanks" dxfId="17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13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3" workbookViewId="0">
      <selection activeCell="F21" sqref="F21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 t="s">
        <v>227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226</v>
      </c>
      <c r="C20" s="12"/>
      <c r="D20" s="12"/>
      <c r="E20" s="12"/>
      <c r="F20" s="10">
        <f>PI()*(3.54/2)^2</f>
        <v>9.842295624431463</v>
      </c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16" workbookViewId="0">
      <selection activeCell="D23" sqref="D23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0.1142857142857143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v>3.5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1.0469999999999999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v>69.31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11" priority="2">
      <formula>_xlfn.ISFORMULA(C4)</formula>
    </cfRule>
    <cfRule type="containsBlanks" dxfId="10" priority="3">
      <formula>LEN(TRIM(C4))=0</formula>
    </cfRule>
  </conditionalFormatting>
  <conditionalFormatting sqref="F16:F17">
    <cfRule type="expression" dxfId="9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989AF-198A-4CC1-9095-07C71A58C4DB}">
  <dimension ref="D6:P31"/>
  <sheetViews>
    <sheetView topLeftCell="A10" workbookViewId="0">
      <selection activeCell="E9" sqref="E9"/>
    </sheetView>
  </sheetViews>
  <sheetFormatPr defaultRowHeight="15" x14ac:dyDescent="0.25"/>
  <sheetData>
    <row r="6" spans="4:16" ht="15.75" thickBot="1" x14ac:dyDescent="0.3"/>
    <row r="7" spans="4:16" ht="45.75" thickBot="1" x14ac:dyDescent="0.3">
      <c r="D7" s="1"/>
      <c r="E7" s="6" t="s">
        <v>222</v>
      </c>
      <c r="F7" s="7" t="s">
        <v>223</v>
      </c>
      <c r="G7" s="7" t="s">
        <v>224</v>
      </c>
      <c r="H7" s="7" t="s">
        <v>225</v>
      </c>
      <c r="I7" s="7"/>
      <c r="J7" s="7"/>
      <c r="K7" s="7"/>
      <c r="L7" s="7"/>
      <c r="M7" s="7"/>
      <c r="N7" s="7"/>
      <c r="O7" s="7"/>
      <c r="P7" s="8"/>
    </row>
    <row r="8" spans="4:16" x14ac:dyDescent="0.25">
      <c r="D8" s="2" t="s">
        <v>203</v>
      </c>
      <c r="E8" s="9">
        <v>1785</v>
      </c>
      <c r="F8" s="9">
        <v>27.28</v>
      </c>
      <c r="G8" s="9"/>
      <c r="H8" s="9"/>
      <c r="I8" s="11"/>
      <c r="J8" s="11"/>
      <c r="K8" s="11"/>
      <c r="L8" s="11"/>
      <c r="M8" s="11"/>
      <c r="N8" s="11"/>
      <c r="O8" s="10"/>
      <c r="P8" s="10"/>
    </row>
    <row r="9" spans="4:16" x14ac:dyDescent="0.25">
      <c r="D9" s="4" t="s">
        <v>9</v>
      </c>
      <c r="E9" s="12">
        <v>3652</v>
      </c>
      <c r="F9" s="12">
        <v>26</v>
      </c>
      <c r="G9" s="12"/>
      <c r="H9" s="12"/>
      <c r="I9" s="12"/>
      <c r="J9" s="12"/>
      <c r="K9" s="12"/>
      <c r="L9" s="10"/>
      <c r="M9" s="10"/>
      <c r="N9" s="10"/>
      <c r="O9" s="10"/>
      <c r="P9" s="10"/>
    </row>
    <row r="10" spans="4:16" x14ac:dyDescent="0.25">
      <c r="D10" s="4" t="s">
        <v>204</v>
      </c>
      <c r="E10" s="12">
        <v>648</v>
      </c>
      <c r="F10" s="12">
        <v>41</v>
      </c>
      <c r="G10" s="12"/>
      <c r="H10" s="12"/>
      <c r="I10" s="12"/>
      <c r="J10" s="12"/>
      <c r="K10" s="12"/>
      <c r="L10" s="10"/>
      <c r="M10" s="10"/>
      <c r="N10" s="10"/>
      <c r="O10" s="10"/>
      <c r="P10" s="10"/>
    </row>
    <row r="11" spans="4:16" x14ac:dyDescent="0.25">
      <c r="D11" s="4" t="s">
        <v>205</v>
      </c>
      <c r="E11" s="12">
        <v>360</v>
      </c>
      <c r="F11" s="12">
        <v>40</v>
      </c>
      <c r="G11" s="12"/>
      <c r="H11" s="12"/>
      <c r="I11" s="10"/>
      <c r="J11" s="10"/>
      <c r="K11" s="10"/>
      <c r="L11" s="10"/>
      <c r="M11" s="10"/>
      <c r="N11" s="10"/>
      <c r="O11" s="10"/>
      <c r="P11" s="10"/>
    </row>
    <row r="12" spans="4:16" x14ac:dyDescent="0.25">
      <c r="D12" s="4" t="s">
        <v>206</v>
      </c>
      <c r="E12" s="12">
        <v>186</v>
      </c>
      <c r="F12" s="12">
        <v>29</v>
      </c>
      <c r="G12" s="12"/>
      <c r="H12" s="12"/>
      <c r="I12" s="10"/>
      <c r="J12" s="10"/>
      <c r="K12" s="10"/>
      <c r="L12" s="10"/>
      <c r="M12" s="10"/>
      <c r="N12" s="10"/>
      <c r="O12" s="10"/>
      <c r="P12" s="10"/>
    </row>
    <row r="13" spans="4:16" ht="15.75" thickBot="1" x14ac:dyDescent="0.3">
      <c r="D13" s="5" t="s">
        <v>18</v>
      </c>
      <c r="E13" s="12">
        <v>90</v>
      </c>
      <c r="F13" s="12">
        <v>17</v>
      </c>
      <c r="G13" s="12"/>
      <c r="H13" s="12"/>
      <c r="I13" s="10"/>
      <c r="J13" s="10"/>
      <c r="K13" s="10"/>
      <c r="L13" s="10"/>
      <c r="M13" s="10"/>
      <c r="N13" s="10"/>
      <c r="O13" s="10"/>
      <c r="P13" s="10"/>
    </row>
    <row r="14" spans="4:16" ht="15.75" thickBot="1" x14ac:dyDescent="0.3">
      <c r="D14" s="5" t="s">
        <v>207</v>
      </c>
      <c r="E14" s="12">
        <v>4730</v>
      </c>
      <c r="F14" s="12">
        <v>33</v>
      </c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15.75" thickBot="1" x14ac:dyDescent="0.3">
      <c r="D15" s="5" t="s">
        <v>208</v>
      </c>
      <c r="E15" s="12">
        <v>1066</v>
      </c>
      <c r="F15" s="12">
        <v>26</v>
      </c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15.75" thickBot="1" x14ac:dyDescent="0.3">
      <c r="D16" s="5" t="s">
        <v>209</v>
      </c>
      <c r="E16" s="12">
        <v>728</v>
      </c>
      <c r="F16" s="12">
        <v>22</v>
      </c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 t="s">
        <v>210</v>
      </c>
      <c r="E17" s="12">
        <v>472</v>
      </c>
      <c r="F17" s="12">
        <v>27</v>
      </c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 t="s">
        <v>211</v>
      </c>
      <c r="E18" s="12">
        <v>533</v>
      </c>
      <c r="F18" s="12">
        <v>33</v>
      </c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30.75" thickBot="1" x14ac:dyDescent="0.3">
      <c r="D19" s="5" t="s">
        <v>212</v>
      </c>
      <c r="E19" s="12">
        <v>367</v>
      </c>
      <c r="F19" s="12">
        <v>33</v>
      </c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 t="s">
        <v>213</v>
      </c>
      <c r="E20" s="12">
        <v>360</v>
      </c>
      <c r="F20" s="12">
        <v>27</v>
      </c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 t="s">
        <v>214</v>
      </c>
      <c r="E21" s="12">
        <v>2016</v>
      </c>
      <c r="F21" s="12">
        <v>20</v>
      </c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 t="s">
        <v>215</v>
      </c>
      <c r="E22" s="12">
        <v>2541</v>
      </c>
      <c r="F22" s="12">
        <v>15</v>
      </c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30.75" thickBot="1" x14ac:dyDescent="0.3">
      <c r="D23" s="5" t="s">
        <v>230</v>
      </c>
      <c r="E23" s="12">
        <v>440</v>
      </c>
      <c r="F23" s="12">
        <v>26</v>
      </c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30.75" thickBot="1" x14ac:dyDescent="0.3">
      <c r="D24" s="5" t="s">
        <v>216</v>
      </c>
      <c r="E24" s="12">
        <v>700</v>
      </c>
      <c r="F24" s="12">
        <v>16</v>
      </c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45.75" thickBot="1" x14ac:dyDescent="0.3">
      <c r="D25" s="5" t="s">
        <v>217</v>
      </c>
      <c r="E25" s="12">
        <v>2200</v>
      </c>
      <c r="F25" s="10">
        <v>26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4:16" ht="45.75" thickBot="1" x14ac:dyDescent="0.3">
      <c r="D26" s="5" t="s">
        <v>218</v>
      </c>
      <c r="E26" s="12">
        <v>2200</v>
      </c>
      <c r="F26" s="10">
        <v>26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 t="s">
        <v>219</v>
      </c>
      <c r="E27" s="12">
        <v>2098</v>
      </c>
      <c r="F27" s="10">
        <v>24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 t="s">
        <v>220</v>
      </c>
      <c r="E28" s="12">
        <v>2098</v>
      </c>
      <c r="F28" s="10">
        <v>26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 t="s">
        <v>221</v>
      </c>
      <c r="E29" s="12">
        <v>2098</v>
      </c>
      <c r="F29" s="10">
        <v>28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21" t="s">
        <v>231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</sheetData>
  <conditionalFormatting sqref="E8:P31">
    <cfRule type="expression" dxfId="8" priority="2">
      <formula>_xlfn.ISFORMULA(E8)</formula>
    </cfRule>
    <cfRule type="containsBlanks" dxfId="7" priority="3">
      <formula>LEN(TRIM(E8))=0</formula>
    </cfRule>
  </conditionalFormatting>
  <conditionalFormatting sqref="H17">
    <cfRule type="expression" dxfId="6" priority="1">
      <formula>ISNOTFORMULA(E8)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Stability&amp;Control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2026-05-14T10:28:44Z</dcterms:modified>
</cp:coreProperties>
</file>