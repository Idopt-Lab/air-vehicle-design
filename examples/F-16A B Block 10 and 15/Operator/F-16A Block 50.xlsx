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examples\F-16A B Block 10 and 15\Operator\"/>
    </mc:Choice>
  </mc:AlternateContent>
  <xr:revisionPtr revIDLastSave="0" documentId="13_ncr:1_{B5C90E6B-BF10-485B-8608-97834C271CCA}" xr6:coauthVersionLast="47" xr6:coauthVersionMax="47" xr10:uidLastSave="{00000000-0000-0000-0000-000000000000}"/>
  <bookViews>
    <workbookView xWindow="22932" yWindow="384" windowWidth="23256" windowHeight="12720" firstSheet="1" activeTab="6" xr2:uid="{5F5D00AF-8D4A-4BC4-9FDA-F17071C88D94}"/>
  </bookViews>
  <sheets>
    <sheet name="Sheet1" sheetId="1" r:id="rId1"/>
    <sheet name="FORMAT" sheetId="6" r:id="rId2"/>
    <sheet name="General" sheetId="11" r:id="rId3"/>
    <sheet name="Wings" sheetId="2" r:id="rId4"/>
    <sheet name="Fuselage" sheetId="5" r:id="rId5"/>
    <sheet name="Propulsion" sheetId="7" r:id="rId6"/>
    <sheet name="Weights" sheetId="8" r:id="rId7"/>
    <sheet name="Stability&amp;Control" sheetId="12" r:id="rId8"/>
    <sheet name="Protuberances" sheetId="9" r:id="rId9"/>
    <sheet name="Skin roughnes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8" l="1"/>
  <c r="F20" i="7"/>
  <c r="C28" i="2"/>
  <c r="E11" i="10"/>
  <c r="E10" i="10"/>
  <c r="E9" i="10"/>
  <c r="E8" i="10"/>
  <c r="E7" i="10"/>
  <c r="D11" i="10"/>
  <c r="D10" i="10"/>
  <c r="D9" i="10"/>
  <c r="D8" i="10"/>
  <c r="D7" i="10"/>
  <c r="D106" i="8"/>
  <c r="D105" i="8"/>
  <c r="D104" i="8"/>
  <c r="D103" i="8"/>
  <c r="D102" i="8"/>
  <c r="D101" i="8"/>
  <c r="D100" i="8"/>
  <c r="D99" i="8"/>
  <c r="D97" i="8"/>
  <c r="D94" i="8"/>
  <c r="D93" i="8"/>
  <c r="D90" i="8"/>
  <c r="D96" i="8" s="1"/>
  <c r="D88" i="8"/>
  <c r="D86" i="8"/>
  <c r="D80" i="8" l="1"/>
  <c r="D75" i="8"/>
  <c r="D76" i="8"/>
  <c r="D73" i="8"/>
  <c r="D72" i="8" l="1"/>
  <c r="D62" i="8"/>
  <c r="D54" i="8"/>
  <c r="D53" i="8"/>
  <c r="D34" i="2"/>
  <c r="E34" i="2"/>
  <c r="F34" i="2"/>
  <c r="C34" i="2"/>
  <c r="D33" i="2"/>
  <c r="E33" i="2"/>
  <c r="F33" i="2"/>
  <c r="C33" i="2"/>
  <c r="D51" i="8" l="1"/>
  <c r="D50" i="8"/>
  <c r="D49" i="8"/>
  <c r="D45" i="8"/>
  <c r="D43" i="8"/>
  <c r="D42" i="8"/>
  <c r="D11" i="8"/>
  <c r="D12" i="8"/>
  <c r="C32" i="2"/>
  <c r="C22" i="2"/>
  <c r="F18" i="2"/>
  <c r="F19" i="2"/>
  <c r="E18" i="2"/>
  <c r="D18" i="2"/>
  <c r="D21" i="2" s="1"/>
  <c r="D19" i="2"/>
  <c r="E19" i="2"/>
  <c r="D20" i="2"/>
  <c r="C19" i="2"/>
  <c r="C20" i="2"/>
  <c r="C18" i="2"/>
  <c r="C21" i="2" s="1"/>
  <c r="C23" i="2" l="1"/>
  <c r="C24" i="2" s="1"/>
  <c r="F23" i="2"/>
  <c r="F24" i="2" s="1"/>
  <c r="F22" i="2"/>
  <c r="F21" i="2"/>
  <c r="F20" i="2"/>
  <c r="D23" i="2"/>
  <c r="D24" i="2" s="1"/>
  <c r="E23" i="2"/>
  <c r="E24" i="2" s="1"/>
  <c r="E22" i="2"/>
  <c r="D22" i="2"/>
  <c r="E21" i="2"/>
  <c r="E20" i="2"/>
  <c r="E14" i="5" l="1"/>
  <c r="E19" i="5" s="1"/>
  <c r="E20" i="5" s="1"/>
  <c r="D19" i="5"/>
  <c r="D20" i="5" s="1"/>
  <c r="D14" i="5"/>
  <c r="D48" i="8" s="1"/>
  <c r="D41" i="8" l="1"/>
  <c r="E107" i="8"/>
  <c r="D19" i="8" s="1"/>
  <c r="D44" i="8"/>
</calcChain>
</file>

<file path=xl/sharedStrings.xml><?xml version="1.0" encoding="utf-8"?>
<sst xmlns="http://schemas.openxmlformats.org/spreadsheetml/2006/main" count="247" uniqueCount="232">
  <si>
    <t>THIS IS FOR THE END USER</t>
  </si>
  <si>
    <t>SET UP YOUR DESIGN GEOMETRY HERE</t>
  </si>
  <si>
    <t>Dihedral (deg)</t>
  </si>
  <si>
    <t>Taper ratio</t>
  </si>
  <si>
    <t>Average chord</t>
  </si>
  <si>
    <t>Mean geometric chord</t>
  </si>
  <si>
    <t>Angle of quarter-chord line (rad)</t>
  </si>
  <si>
    <t>Planform area (ft^2)</t>
  </si>
  <si>
    <t>Aspect ratio</t>
  </si>
  <si>
    <t>Fuselage</t>
  </si>
  <si>
    <t>Length (ft)</t>
  </si>
  <si>
    <t>Main</t>
  </si>
  <si>
    <t>t/c</t>
  </si>
  <si>
    <t>alpha L=0</t>
  </si>
  <si>
    <t>cl alpha</t>
  </si>
  <si>
    <t>Root chord length (ft)</t>
  </si>
  <si>
    <t>Horizontal Tail</t>
  </si>
  <si>
    <t>Vertical Tail</t>
  </si>
  <si>
    <t>Strakes</t>
  </si>
  <si>
    <t>Span (ft)</t>
  </si>
  <si>
    <t>Sweep (LE, deg)</t>
  </si>
  <si>
    <t>Tip chord length (ft)</t>
  </si>
  <si>
    <t>Airfoil</t>
  </si>
  <si>
    <t>cl max</t>
  </si>
  <si>
    <t>Max width (ft)</t>
  </si>
  <si>
    <t>TITLE</t>
  </si>
  <si>
    <t>KEY</t>
  </si>
  <si>
    <t>Label</t>
  </si>
  <si>
    <t>Constant</t>
  </si>
  <si>
    <t>Computed</t>
  </si>
  <si>
    <t>Dry</t>
  </si>
  <si>
    <t>Wet</t>
  </si>
  <si>
    <t>NACA 1404</t>
  </si>
  <si>
    <t>NACA 0004</t>
  </si>
  <si>
    <t>Weights</t>
  </si>
  <si>
    <t>Fixed (lbf)</t>
  </si>
  <si>
    <t>Payload, fixed (lbf)</t>
  </si>
  <si>
    <t>Payload, drop (lbf)</t>
  </si>
  <si>
    <t>c_VT</t>
  </si>
  <si>
    <t>c_HT</t>
  </si>
  <si>
    <t>Taper ratio, qc</t>
  </si>
  <si>
    <t>Thrust (sea level) (lbf)</t>
  </si>
  <si>
    <t>Fw (ft)</t>
  </si>
  <si>
    <t>Bw</t>
  </si>
  <si>
    <t>D</t>
  </si>
  <si>
    <t>De</t>
  </si>
  <si>
    <t>Fw</t>
  </si>
  <si>
    <t>Ht</t>
  </si>
  <si>
    <t>Hv</t>
  </si>
  <si>
    <t>Iyaw</t>
  </si>
  <si>
    <t>Kcb</t>
  </si>
  <si>
    <t>Kd</t>
  </si>
  <si>
    <t>Kdoor</t>
  </si>
  <si>
    <t>Kdw</t>
  </si>
  <si>
    <t>Kdwf</t>
  </si>
  <si>
    <t>Kh</t>
  </si>
  <si>
    <t>KLg</t>
  </si>
  <si>
    <t>Kmc</t>
  </si>
  <si>
    <t>Kmp</t>
  </si>
  <si>
    <t>Kng</t>
  </si>
  <si>
    <t>Knp</t>
  </si>
  <si>
    <t>KP</t>
  </si>
  <si>
    <t>Kr</t>
  </si>
  <si>
    <t>Krht</t>
  </si>
  <si>
    <t>Ktp</t>
  </si>
  <si>
    <t>Ktpg</t>
  </si>
  <si>
    <t>Ktr</t>
  </si>
  <si>
    <t>Kuht</t>
  </si>
  <si>
    <t>Kvg</t>
  </si>
  <si>
    <t>Kvs</t>
  </si>
  <si>
    <t>Kvsh</t>
  </si>
  <si>
    <t>Kws</t>
  </si>
  <si>
    <t>Ky</t>
  </si>
  <si>
    <t>Kz</t>
  </si>
  <si>
    <t>L</t>
  </si>
  <si>
    <t>La</t>
  </si>
  <si>
    <t>Ld</t>
  </si>
  <si>
    <t>Lec</t>
  </si>
  <si>
    <t>Lf</t>
  </si>
  <si>
    <t>Lm</t>
  </si>
  <si>
    <t>Ln</t>
  </si>
  <si>
    <t>Ls</t>
  </si>
  <si>
    <t>Lsh</t>
  </si>
  <si>
    <t>Lt</t>
  </si>
  <si>
    <t>Ltp</t>
  </si>
  <si>
    <t>M</t>
  </si>
  <si>
    <t>Nc</t>
  </si>
  <si>
    <t>Nci</t>
  </si>
  <si>
    <t>Nen</t>
  </si>
  <si>
    <t>Nf</t>
  </si>
  <si>
    <t>Ngen</t>
  </si>
  <si>
    <t>NLt</t>
  </si>
  <si>
    <t>Nm</t>
  </si>
  <si>
    <t>Nmss</t>
  </si>
  <si>
    <t>Nmw</t>
  </si>
  <si>
    <t>Nnw</t>
  </si>
  <si>
    <t>Np</t>
  </si>
  <si>
    <t>Ns</t>
  </si>
  <si>
    <t>Nt</t>
  </si>
  <si>
    <t>Nu</t>
  </si>
  <si>
    <t>Nw</t>
  </si>
  <si>
    <t>Nz</t>
  </si>
  <si>
    <t>q</t>
  </si>
  <si>
    <t>Rkva</t>
  </si>
  <si>
    <t>Scs</t>
  </si>
  <si>
    <t>Scsw</t>
  </si>
  <si>
    <t>Se</t>
  </si>
  <si>
    <t>Sf</t>
  </si>
  <si>
    <t>Sfw</t>
  </si>
  <si>
    <t>Sht</t>
  </si>
  <si>
    <t>Sn</t>
  </si>
  <si>
    <t>Sr</t>
  </si>
  <si>
    <t>Sstall</t>
  </si>
  <si>
    <t>Svt</t>
  </si>
  <si>
    <t>Sw</t>
  </si>
  <si>
    <t>SFC</t>
  </si>
  <si>
    <t>T</t>
  </si>
  <si>
    <t>Te</t>
  </si>
  <si>
    <t>Vi</t>
  </si>
  <si>
    <t>VP</t>
  </si>
  <si>
    <t>Vpr</t>
  </si>
  <si>
    <t>Vt</t>
  </si>
  <si>
    <t>W</t>
  </si>
  <si>
    <t>Wc</t>
  </si>
  <si>
    <t>Wdg</t>
  </si>
  <si>
    <t>Wec</t>
  </si>
  <si>
    <t>Wen</t>
  </si>
  <si>
    <t>Wfw</t>
  </si>
  <si>
    <t>Wl</t>
  </si>
  <si>
    <t>Wpress</t>
  </si>
  <si>
    <t>Wuav</t>
  </si>
  <si>
    <t>Lambda qc</t>
  </si>
  <si>
    <t>AR</t>
  </si>
  <si>
    <t>Art</t>
  </si>
  <si>
    <t>Arv</t>
  </si>
  <si>
    <t>Bh</t>
  </si>
  <si>
    <t>Ht/Hv</t>
  </si>
  <si>
    <t>Mean geometric chord location (ymac/b)</t>
  </si>
  <si>
    <t>ymac</t>
  </si>
  <si>
    <t>lambda_w</t>
  </si>
  <si>
    <t>lambda_ht</t>
  </si>
  <si>
    <t>lambda_vt</t>
  </si>
  <si>
    <t>Nl</t>
  </si>
  <si>
    <t>Izz</t>
  </si>
  <si>
    <t>Bypass Ratio</t>
  </si>
  <si>
    <t>Nose</t>
  </si>
  <si>
    <t>Total</t>
  </si>
  <si>
    <t>Shape</t>
  </si>
  <si>
    <t>Area (top) (ft^2)</t>
  </si>
  <si>
    <t>Area (side) (ft^2)</t>
  </si>
  <si>
    <t>Coefficients</t>
  </si>
  <si>
    <t>x/c</t>
  </si>
  <si>
    <t>Q</t>
  </si>
  <si>
    <t>Y/N</t>
  </si>
  <si>
    <t>Y</t>
  </si>
  <si>
    <t>Arresting hook</t>
  </si>
  <si>
    <t>USAF</t>
  </si>
  <si>
    <t>USAF/USN</t>
  </si>
  <si>
    <t>Cannon port</t>
  </si>
  <si>
    <t>Pilot</t>
  </si>
  <si>
    <t>N</t>
  </si>
  <si>
    <t>k (m)</t>
  </si>
  <si>
    <t>k (ft)</t>
  </si>
  <si>
    <t>Camo paint on aluminum</t>
  </si>
  <si>
    <t>Smooth paint</t>
  </si>
  <si>
    <t>Production sheet metal</t>
  </si>
  <si>
    <t>Polished sheet metal</t>
  </si>
  <si>
    <t>Smooth molded composite</t>
  </si>
  <si>
    <t>Exposed pilot - seated</t>
  </si>
  <si>
    <t>Exposed pilot - spread eagle</t>
  </si>
  <si>
    <t>Machine gun ports</t>
  </si>
  <si>
    <t>D/q (ft^2)</t>
  </si>
  <si>
    <t>D/q (m^2)</t>
  </si>
  <si>
    <t>Exposed  pilot - prone</t>
  </si>
  <si>
    <t>Airfoil type</t>
  </si>
  <si>
    <t>cambered</t>
  </si>
  <si>
    <t>uncambered</t>
  </si>
  <si>
    <t>Type</t>
  </si>
  <si>
    <t>Fighter</t>
  </si>
  <si>
    <t>Wing config</t>
  </si>
  <si>
    <t>Delta</t>
  </si>
  <si>
    <t>Engine count</t>
  </si>
  <si>
    <t>General design choices</t>
  </si>
  <si>
    <t>Aerodynamic</t>
  </si>
  <si>
    <t>Propulsion</t>
  </si>
  <si>
    <t>Weight</t>
  </si>
  <si>
    <t>Sub/supersonic</t>
  </si>
  <si>
    <t>Supersonic</t>
  </si>
  <si>
    <t>Exposed root chord</t>
  </si>
  <si>
    <t>Exposed half-span</t>
  </si>
  <si>
    <t>Max height (ft)</t>
  </si>
  <si>
    <t>"Jet fighter"</t>
  </si>
  <si>
    <t>WTO_guess</t>
  </si>
  <si>
    <t>Tail config</t>
  </si>
  <si>
    <t>engine type</t>
  </si>
  <si>
    <t>"low bpr turbofan"</t>
  </si>
  <si>
    <t>isafterburning</t>
  </si>
  <si>
    <t>E</t>
  </si>
  <si>
    <t>F1</t>
  </si>
  <si>
    <t>F2</t>
  </si>
  <si>
    <t>TSFC (sea level) (per hour)</t>
  </si>
  <si>
    <t>fuel_type</t>
  </si>
  <si>
    <t>JP-4</t>
  </si>
  <si>
    <t>Wing</t>
  </si>
  <si>
    <t>HT</t>
  </si>
  <si>
    <t>VT</t>
  </si>
  <si>
    <t>Nacelles</t>
  </si>
  <si>
    <t>Engine</t>
  </si>
  <si>
    <t>Gear</t>
  </si>
  <si>
    <t>Inlet duct</t>
  </si>
  <si>
    <t>Controls</t>
  </si>
  <si>
    <t>Electrical</t>
  </si>
  <si>
    <t>Hydraulics</t>
  </si>
  <si>
    <t>ECS</t>
  </si>
  <si>
    <t>Other</t>
  </si>
  <si>
    <t>Avionics</t>
  </si>
  <si>
    <t>Fixed Payload</t>
  </si>
  <si>
    <t>Exp Payload 1</t>
  </si>
  <si>
    <t>Exp Payload 2</t>
  </si>
  <si>
    <t>Fuel 1</t>
  </si>
  <si>
    <t>Fuel 2</t>
  </si>
  <si>
    <t>Fuel 3</t>
  </si>
  <si>
    <t>Weight (lbf)</t>
  </si>
  <si>
    <t>CG X-Location (fT)</t>
  </si>
  <si>
    <t>X-MAC</t>
  </si>
  <si>
    <t>Y-MAC</t>
  </si>
  <si>
    <t>Inlet area</t>
  </si>
  <si>
    <t>Inlet Area</t>
  </si>
  <si>
    <t>Kfus</t>
  </si>
  <si>
    <t>x location</t>
  </si>
  <si>
    <t>Armaments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</si>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</sst>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2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7" xfId="0" applyFill="1" applyBorder="1"/>
    <xf numFmtId="0" fontId="0" fillId="2" borderId="9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3" fillId="0" borderId="12" xfId="0" applyFont="1" applyBorder="1"/>
    <xf numFmtId="0" fontId="2" fillId="0" borderId="7" xfId="0" applyFont="1" applyBorder="1"/>
    <xf numFmtId="0" fontId="1" fillId="2" borderId="7" xfId="0" applyFont="1" applyFill="1" applyBorder="1"/>
    <xf numFmtId="0" fontId="0" fillId="4" borderId="7" xfId="0" applyFill="1" applyBorder="1"/>
    <xf numFmtId="0" fontId="0" fillId="2" borderId="13" xfId="0" applyFill="1" applyBorder="1" applyAlignment="1">
      <alignment wrapText="1"/>
    </xf>
    <xf numFmtId="0" fontId="3" fillId="0" borderId="0" xfId="0" applyFont="1"/>
    <xf numFmtId="49" fontId="0" fillId="3" borderId="10" xfId="0" applyNumberFormat="1" applyFill="1" applyBorder="1" applyAlignment="1">
      <alignment wrapText="1"/>
    </xf>
    <xf numFmtId="49" fontId="0" fillId="3" borderId="7" xfId="0" applyNumberFormat="1" applyFill="1" applyBorder="1" applyAlignment="1">
      <alignment wrapText="1"/>
    </xf>
    <xf numFmtId="0" fontId="0" fillId="3" borderId="7" xfId="0" quotePrefix="1" applyFill="1" applyBorder="1" applyAlignment="1">
      <alignment wrapText="1"/>
    </xf>
  </cellXfs>
  <cellStyles count="1">
    <cellStyle name="Normal" xfId="0" builtinId="0"/>
  </cellStyles>
  <dxfs count="26"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5B77-AA49-4CB9-A802-4BBFB10B5C94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F23B-4C6A-46FF-A5EA-3CA7645F338A}">
  <dimension ref="B8:N37"/>
  <sheetViews>
    <sheetView workbookViewId="0">
      <selection activeCell="B13" sqref="B13:N37"/>
    </sheetView>
  </sheetViews>
  <sheetFormatPr defaultRowHeight="15" x14ac:dyDescent="0.25"/>
  <cols>
    <col min="2" max="2" width="19.7109375" customWidth="1"/>
    <col min="3" max="3" width="11.7109375" bestFit="1" customWidth="1"/>
    <col min="4" max="4" width="13" customWidth="1"/>
  </cols>
  <sheetData>
    <row r="8" spans="2:14" x14ac:dyDescent="0.25">
      <c r="D8" s="14" t="s">
        <v>26</v>
      </c>
    </row>
    <row r="9" spans="2:14" ht="15.75" thickBot="1" x14ac:dyDescent="0.3">
      <c r="D9" s="15" t="s">
        <v>27</v>
      </c>
    </row>
    <row r="10" spans="2:14" ht="32.25" thickBot="1" x14ac:dyDescent="0.55000000000000004">
      <c r="B10" s="13" t="s">
        <v>25</v>
      </c>
      <c r="D10" s="3" t="s">
        <v>28</v>
      </c>
    </row>
    <row r="11" spans="2:14" x14ac:dyDescent="0.25">
      <c r="D11" s="16" t="s">
        <v>29</v>
      </c>
    </row>
    <row r="12" spans="2:14" ht="15.75" thickBot="1" x14ac:dyDescent="0.3"/>
    <row r="13" spans="2:14" ht="15.75" thickBot="1" x14ac:dyDescent="0.3">
      <c r="B13" s="1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</row>
    <row r="14" spans="2:14" x14ac:dyDescent="0.25">
      <c r="B14" s="2"/>
      <c r="C14" s="9">
        <v>0</v>
      </c>
      <c r="D14" s="9"/>
      <c r="E14" s="9"/>
      <c r="F14" s="9"/>
      <c r="G14" s="11"/>
      <c r="H14" s="11"/>
      <c r="I14" s="11"/>
      <c r="J14" s="11"/>
      <c r="K14" s="11"/>
      <c r="L14" s="11"/>
      <c r="M14" s="10"/>
      <c r="N14" s="10"/>
    </row>
    <row r="15" spans="2:14" x14ac:dyDescent="0.25">
      <c r="B15" s="4"/>
      <c r="C15" s="12"/>
      <c r="D15" s="12"/>
      <c r="E15" s="12"/>
      <c r="F15" s="12"/>
      <c r="G15" s="12"/>
      <c r="H15" s="12"/>
      <c r="I15" s="12"/>
      <c r="J15" s="10"/>
      <c r="K15" s="10"/>
      <c r="L15" s="10"/>
      <c r="M15" s="10"/>
      <c r="N15" s="10"/>
    </row>
    <row r="16" spans="2:14" ht="24.75" customHeight="1" x14ac:dyDescent="0.25">
      <c r="B16" s="4"/>
      <c r="C16" s="12"/>
      <c r="D16" s="12"/>
      <c r="E16" s="12"/>
      <c r="F16" s="12"/>
      <c r="G16" s="12"/>
      <c r="H16" s="12"/>
      <c r="I16" s="12"/>
      <c r="J16" s="10"/>
      <c r="K16" s="10"/>
      <c r="L16" s="10"/>
      <c r="M16" s="10"/>
      <c r="N16" s="10"/>
    </row>
    <row r="17" spans="2:14" x14ac:dyDescent="0.25">
      <c r="B17" s="4"/>
      <c r="C17" s="12"/>
      <c r="D17" s="12"/>
      <c r="E17" s="12"/>
      <c r="F17" s="12"/>
      <c r="G17" s="10"/>
      <c r="H17" s="10"/>
      <c r="I17" s="10"/>
      <c r="J17" s="10"/>
      <c r="K17" s="10"/>
      <c r="L17" s="10"/>
      <c r="M17" s="10"/>
      <c r="N17" s="10"/>
    </row>
    <row r="18" spans="2:14" x14ac:dyDescent="0.25">
      <c r="B18" s="4"/>
      <c r="C18" s="12"/>
      <c r="D18" s="12"/>
      <c r="E18" s="12"/>
      <c r="F18" s="12"/>
      <c r="G18" s="10"/>
      <c r="H18" s="10"/>
      <c r="I18" s="10"/>
      <c r="J18" s="10"/>
      <c r="K18" s="10"/>
      <c r="L18" s="10"/>
      <c r="M18" s="10"/>
      <c r="N18" s="10"/>
    </row>
    <row r="19" spans="2:14" ht="15.75" thickBot="1" x14ac:dyDescent="0.3">
      <c r="B19" s="5"/>
      <c r="C19" s="12"/>
      <c r="D19" s="12"/>
      <c r="E19" s="12"/>
      <c r="F19" s="12"/>
      <c r="G19" s="10"/>
      <c r="H19" s="10"/>
      <c r="I19" s="10"/>
      <c r="J19" s="10"/>
      <c r="K19" s="10"/>
      <c r="L19" s="10"/>
      <c r="M19" s="10"/>
      <c r="N19" s="10"/>
    </row>
    <row r="20" spans="2:14" ht="15.75" thickBot="1" x14ac:dyDescent="0.3">
      <c r="B20" s="5"/>
      <c r="C20" s="12"/>
      <c r="D20" s="12"/>
      <c r="E20" s="12"/>
      <c r="F20" s="12"/>
      <c r="G20" s="10"/>
      <c r="H20" s="10"/>
      <c r="I20" s="10"/>
      <c r="J20" s="10"/>
      <c r="K20" s="10"/>
      <c r="L20" s="10"/>
      <c r="M20" s="10"/>
      <c r="N20" s="10"/>
    </row>
    <row r="21" spans="2:14" ht="15.75" thickBot="1" x14ac:dyDescent="0.3">
      <c r="B21" s="5"/>
      <c r="C21" s="12"/>
      <c r="D21" s="12"/>
      <c r="E21" s="12"/>
      <c r="F21" s="12"/>
      <c r="G21" s="10"/>
      <c r="H21" s="10"/>
      <c r="I21" s="10"/>
      <c r="J21" s="10"/>
      <c r="K21" s="10"/>
      <c r="L21" s="10"/>
      <c r="M21" s="10"/>
      <c r="N21" s="10"/>
    </row>
    <row r="22" spans="2:14" ht="15.75" thickBot="1" x14ac:dyDescent="0.3">
      <c r="B22" s="5"/>
      <c r="C22" s="12"/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</row>
    <row r="23" spans="2:14" ht="15.75" thickBot="1" x14ac:dyDescent="0.3">
      <c r="B23" s="5"/>
      <c r="C23" s="12"/>
      <c r="D23" s="12"/>
      <c r="E23" s="12"/>
      <c r="F23" s="12"/>
      <c r="G23" s="10"/>
      <c r="H23" s="10"/>
      <c r="I23" s="10"/>
      <c r="J23" s="10"/>
      <c r="K23" s="10"/>
      <c r="L23" s="10"/>
      <c r="M23" s="10"/>
      <c r="N23" s="10"/>
    </row>
    <row r="24" spans="2:14" ht="15.75" thickBot="1" x14ac:dyDescent="0.3">
      <c r="B24" s="5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</row>
    <row r="25" spans="2:14" ht="15.75" thickBot="1" x14ac:dyDescent="0.3">
      <c r="B25" s="5"/>
      <c r="C25" s="12"/>
      <c r="D25" s="12"/>
      <c r="E25" s="12"/>
      <c r="F25" s="12"/>
      <c r="G25" s="10"/>
      <c r="H25" s="10"/>
      <c r="I25" s="10"/>
      <c r="J25" s="10"/>
      <c r="K25" s="10"/>
      <c r="L25" s="10"/>
      <c r="M25" s="10"/>
      <c r="N25" s="10"/>
    </row>
    <row r="26" spans="2:14" ht="15.75" thickBot="1" x14ac:dyDescent="0.3">
      <c r="B26" s="5"/>
      <c r="C26" s="12"/>
      <c r="D26" s="12"/>
      <c r="E26" s="12"/>
      <c r="F26" s="12"/>
      <c r="G26" s="10"/>
      <c r="H26" s="10"/>
      <c r="I26" s="10"/>
      <c r="J26" s="10"/>
      <c r="K26" s="10"/>
      <c r="L26" s="10"/>
      <c r="M26" s="10"/>
      <c r="N26" s="10"/>
    </row>
    <row r="27" spans="2:14" ht="15.75" thickBot="1" x14ac:dyDescent="0.3">
      <c r="B27" s="5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</row>
    <row r="28" spans="2:14" ht="15.75" thickBot="1" x14ac:dyDescent="0.3">
      <c r="B28" s="5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</row>
    <row r="29" spans="2:14" ht="15.75" thickBot="1" x14ac:dyDescent="0.3">
      <c r="B29" s="5"/>
      <c r="C29" s="12"/>
      <c r="D29" s="12"/>
      <c r="E29" s="12"/>
      <c r="F29" s="12"/>
      <c r="G29" s="10"/>
      <c r="H29" s="10"/>
      <c r="I29" s="10"/>
      <c r="J29" s="10"/>
      <c r="K29" s="10"/>
      <c r="L29" s="10"/>
      <c r="M29" s="10"/>
      <c r="N29" s="10"/>
    </row>
    <row r="30" spans="2:14" ht="15.75" thickBot="1" x14ac:dyDescent="0.3">
      <c r="B30" s="5"/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.75" thickBot="1" x14ac:dyDescent="0.3">
      <c r="B31" s="5"/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.75" thickBot="1" x14ac:dyDescent="0.3">
      <c r="B32" s="5"/>
      <c r="C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.75" thickBot="1" x14ac:dyDescent="0.3">
      <c r="B33" s="5"/>
      <c r="C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5.75" thickBot="1" x14ac:dyDescent="0.3">
      <c r="B34" s="5"/>
      <c r="C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5.75" thickBot="1" x14ac:dyDescent="0.3">
      <c r="B35" s="5"/>
      <c r="C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.75" thickBot="1" x14ac:dyDescent="0.3">
      <c r="B36" s="5"/>
      <c r="C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5.75" thickBot="1" x14ac:dyDescent="0.3">
      <c r="B37" s="5"/>
      <c r="C37" s="1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conditionalFormatting sqref="C14:N37">
    <cfRule type="expression" dxfId="25" priority="2">
      <formula>_xlfn.ISFORMULA(C14)</formula>
    </cfRule>
    <cfRule type="containsBlanks" dxfId="24" priority="3">
      <formula>LEN(TRIM(C14))=0</formula>
    </cfRule>
  </conditionalFormatting>
  <conditionalFormatting sqref="F23">
    <cfRule type="expression" dxfId="23" priority="1">
      <formula>ISNOTFORMULA(C14)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520D-A7E0-44C0-B29B-0A2440D0EA5F}">
  <dimension ref="C4:O29"/>
  <sheetViews>
    <sheetView topLeftCell="A4" workbookViewId="0">
      <selection activeCell="F14" sqref="F14"/>
    </sheetView>
  </sheetViews>
  <sheetFormatPr defaultRowHeight="15" x14ac:dyDescent="0.25"/>
  <sheetData>
    <row r="4" spans="3:15" ht="15.75" thickBot="1" x14ac:dyDescent="0.3"/>
    <row r="5" spans="3:15" ht="45.75" thickBot="1" x14ac:dyDescent="0.3">
      <c r="C5" s="1"/>
      <c r="D5" s="6" t="s">
        <v>182</v>
      </c>
      <c r="E5" s="7" t="s">
        <v>183</v>
      </c>
      <c r="F5" s="7" t="s">
        <v>184</v>
      </c>
      <c r="G5" s="7" t="s">
        <v>185</v>
      </c>
      <c r="H5" s="7"/>
      <c r="I5" s="7"/>
      <c r="J5" s="7"/>
      <c r="K5" s="7"/>
      <c r="L5" s="7"/>
      <c r="M5" s="7"/>
      <c r="N5" s="7"/>
      <c r="O5" s="8"/>
    </row>
    <row r="6" spans="3:15" ht="30" x14ac:dyDescent="0.25">
      <c r="C6" s="2" t="s">
        <v>177</v>
      </c>
      <c r="D6" s="9" t="s">
        <v>191</v>
      </c>
      <c r="E6" s="9"/>
      <c r="F6" s="9"/>
      <c r="G6" s="9"/>
      <c r="H6" s="11"/>
      <c r="I6" s="11"/>
      <c r="J6" s="11"/>
      <c r="K6" s="11"/>
      <c r="L6" s="11"/>
      <c r="M6" s="11"/>
      <c r="N6" s="10"/>
      <c r="O6" s="10"/>
    </row>
    <row r="7" spans="3:15" ht="30" x14ac:dyDescent="0.25">
      <c r="C7" s="4" t="s">
        <v>179</v>
      </c>
      <c r="D7" s="12" t="s">
        <v>180</v>
      </c>
      <c r="E7" s="12"/>
      <c r="F7" s="12"/>
      <c r="G7" s="12"/>
      <c r="H7" s="12"/>
      <c r="I7" s="12"/>
      <c r="J7" s="12"/>
      <c r="K7" s="10"/>
      <c r="L7" s="10"/>
      <c r="M7" s="10"/>
      <c r="N7" s="10"/>
      <c r="O7" s="10"/>
    </row>
    <row r="8" spans="3:15" ht="30" x14ac:dyDescent="0.25">
      <c r="C8" s="4" t="s">
        <v>181</v>
      </c>
      <c r="D8" s="12">
        <v>1</v>
      </c>
      <c r="E8" s="12"/>
      <c r="F8" s="12"/>
      <c r="G8" s="12"/>
      <c r="H8" s="12"/>
      <c r="I8" s="12"/>
      <c r="J8" s="12"/>
      <c r="K8" s="10"/>
      <c r="L8" s="10"/>
      <c r="M8" s="10"/>
      <c r="N8" s="10"/>
      <c r="O8" s="10"/>
    </row>
    <row r="9" spans="3:15" x14ac:dyDescent="0.25">
      <c r="C9" s="4" t="s">
        <v>159</v>
      </c>
      <c r="D9" s="12">
        <v>1</v>
      </c>
      <c r="E9" s="12"/>
      <c r="F9" s="12"/>
      <c r="G9" s="12"/>
      <c r="H9" s="10"/>
      <c r="I9" s="10"/>
      <c r="J9" s="10"/>
      <c r="K9" s="10"/>
      <c r="L9" s="10"/>
      <c r="M9" s="10"/>
      <c r="N9" s="10"/>
      <c r="O9" s="10"/>
    </row>
    <row r="10" spans="3:15" ht="30" x14ac:dyDescent="0.25">
      <c r="C10" s="4" t="s">
        <v>186</v>
      </c>
      <c r="D10" s="12" t="s">
        <v>187</v>
      </c>
      <c r="E10" s="12"/>
      <c r="F10" s="12"/>
      <c r="G10" s="12"/>
      <c r="H10" s="10"/>
      <c r="I10" s="10"/>
      <c r="J10" s="10"/>
      <c r="K10" s="10"/>
      <c r="L10" s="10"/>
      <c r="M10" s="10"/>
      <c r="N10" s="10"/>
      <c r="O10" s="10"/>
    </row>
    <row r="11" spans="3:15" ht="30.75" thickBot="1" x14ac:dyDescent="0.3">
      <c r="C11" s="5" t="s">
        <v>193</v>
      </c>
      <c r="D11" s="12" t="s">
        <v>178</v>
      </c>
      <c r="E11" s="12"/>
      <c r="F11" s="12"/>
      <c r="G11" s="12"/>
      <c r="H11" s="10"/>
      <c r="I11" s="10"/>
      <c r="J11" s="10"/>
      <c r="K11" s="10"/>
      <c r="L11" s="10"/>
      <c r="M11" s="10"/>
      <c r="N11" s="10"/>
      <c r="O11" s="10"/>
    </row>
    <row r="12" spans="3:15" ht="45.75" thickBot="1" x14ac:dyDescent="0.3">
      <c r="C12" s="5" t="s">
        <v>194</v>
      </c>
      <c r="D12" s="9" t="s">
        <v>195</v>
      </c>
      <c r="E12" s="12"/>
      <c r="F12" s="12"/>
      <c r="G12" s="12"/>
      <c r="H12" s="10"/>
      <c r="I12" s="10"/>
      <c r="J12" s="10"/>
      <c r="K12" s="10"/>
      <c r="L12" s="10"/>
      <c r="M12" s="10"/>
      <c r="N12" s="10"/>
      <c r="O12" s="10"/>
    </row>
    <row r="13" spans="3:15" ht="30.75" thickBot="1" x14ac:dyDescent="0.3">
      <c r="C13" s="5" t="s">
        <v>196</v>
      </c>
      <c r="D13" s="12" t="s">
        <v>154</v>
      </c>
      <c r="E13" s="12"/>
      <c r="F13" s="12"/>
      <c r="G13" s="12"/>
      <c r="H13" s="10"/>
      <c r="I13" s="10"/>
      <c r="J13" s="10"/>
      <c r="K13" s="10"/>
      <c r="L13" s="10"/>
      <c r="M13" s="10"/>
      <c r="N13" s="10"/>
      <c r="O13" s="10"/>
    </row>
    <row r="14" spans="3:15" ht="15.75" thickBot="1" x14ac:dyDescent="0.3">
      <c r="C14" s="5" t="s">
        <v>201</v>
      </c>
      <c r="D14" s="12" t="s">
        <v>202</v>
      </c>
      <c r="E14" s="12"/>
      <c r="F14" s="12"/>
      <c r="G14" s="12"/>
      <c r="H14" s="10"/>
      <c r="I14" s="10"/>
      <c r="J14" s="10"/>
      <c r="K14" s="10"/>
      <c r="L14" s="10"/>
      <c r="M14" s="10"/>
      <c r="N14" s="10"/>
      <c r="O14" s="10"/>
    </row>
    <row r="15" spans="3:15" ht="15.75" thickBot="1" x14ac:dyDescent="0.3">
      <c r="C15" s="5"/>
      <c r="D15" s="12"/>
      <c r="E15" s="12"/>
      <c r="F15" s="12"/>
      <c r="G15" s="12"/>
      <c r="H15" s="10"/>
      <c r="I15" s="10"/>
      <c r="J15" s="10"/>
      <c r="K15" s="10"/>
      <c r="L15" s="10"/>
      <c r="M15" s="10"/>
      <c r="N15" s="10"/>
      <c r="O15" s="10"/>
    </row>
    <row r="16" spans="3:15" ht="15.75" thickBot="1" x14ac:dyDescent="0.3">
      <c r="C16" s="5"/>
      <c r="D16" s="12"/>
      <c r="E16" s="12"/>
      <c r="F16" s="12"/>
      <c r="G16" s="12"/>
      <c r="H16" s="10"/>
      <c r="I16" s="10"/>
      <c r="J16" s="10"/>
      <c r="K16" s="10"/>
      <c r="L16" s="10"/>
      <c r="M16" s="10"/>
      <c r="N16" s="10"/>
      <c r="O16" s="10"/>
    </row>
    <row r="17" spans="3:15" ht="15.75" thickBot="1" x14ac:dyDescent="0.3">
      <c r="C17" s="5"/>
      <c r="D17" s="12"/>
      <c r="E17" s="12"/>
      <c r="F17" s="12"/>
      <c r="G17" s="12"/>
      <c r="H17" s="10"/>
      <c r="I17" s="10"/>
      <c r="J17" s="10"/>
      <c r="K17" s="10"/>
      <c r="L17" s="10"/>
      <c r="M17" s="10"/>
      <c r="N17" s="10"/>
      <c r="O17" s="10"/>
    </row>
    <row r="18" spans="3:15" ht="15.75" thickBot="1" x14ac:dyDescent="0.3">
      <c r="C18" s="5"/>
      <c r="D18" s="12"/>
      <c r="E18" s="12"/>
      <c r="F18" s="12"/>
      <c r="G18" s="12"/>
      <c r="H18" s="10"/>
      <c r="I18" s="10"/>
      <c r="J18" s="10"/>
      <c r="K18" s="10"/>
      <c r="L18" s="10"/>
      <c r="M18" s="10"/>
      <c r="N18" s="10"/>
      <c r="O18" s="10"/>
    </row>
    <row r="19" spans="3:15" ht="15.75" thickBot="1" x14ac:dyDescent="0.3">
      <c r="C19" s="5"/>
      <c r="D19" s="12"/>
      <c r="E19" s="12"/>
      <c r="F19" s="12"/>
      <c r="G19" s="12"/>
      <c r="H19" s="10"/>
      <c r="I19" s="10"/>
      <c r="J19" s="10"/>
      <c r="K19" s="10"/>
      <c r="L19" s="10"/>
      <c r="M19" s="10"/>
      <c r="N19" s="10"/>
      <c r="O19" s="10"/>
    </row>
    <row r="20" spans="3:15" ht="15.75" thickBot="1" x14ac:dyDescent="0.3">
      <c r="C20" s="5"/>
      <c r="D20" s="12"/>
      <c r="E20" s="12"/>
      <c r="F20" s="12"/>
      <c r="G20" s="12"/>
      <c r="H20" s="10"/>
      <c r="I20" s="10"/>
      <c r="J20" s="10"/>
      <c r="K20" s="10"/>
      <c r="L20" s="10"/>
      <c r="M20" s="10"/>
      <c r="N20" s="10"/>
      <c r="O20" s="10"/>
    </row>
    <row r="21" spans="3:15" ht="15.75" thickBot="1" x14ac:dyDescent="0.3">
      <c r="C21" s="5"/>
      <c r="D21" s="12"/>
      <c r="E21" s="12"/>
      <c r="F21" s="12"/>
      <c r="G21" s="12"/>
      <c r="H21" s="10"/>
      <c r="I21" s="10"/>
      <c r="J21" s="10"/>
      <c r="K21" s="10"/>
      <c r="L21" s="10"/>
      <c r="M21" s="10"/>
      <c r="N21" s="10"/>
      <c r="O21" s="10"/>
    </row>
    <row r="22" spans="3:15" ht="15.75" thickBot="1" x14ac:dyDescent="0.3">
      <c r="C22" s="5"/>
      <c r="D22" s="12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3:15" ht="15.75" thickBot="1" x14ac:dyDescent="0.3">
      <c r="C23" s="5"/>
      <c r="D23" s="1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3:15" ht="15.75" thickBot="1" x14ac:dyDescent="0.3">
      <c r="C24" s="5"/>
      <c r="D24" s="12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3:15" ht="15.75" thickBot="1" x14ac:dyDescent="0.3">
      <c r="C25" s="5"/>
      <c r="D25" s="1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3:15" ht="15.75" thickBot="1" x14ac:dyDescent="0.3">
      <c r="C26" s="5"/>
      <c r="D26" s="12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3:15" ht="15.75" thickBot="1" x14ac:dyDescent="0.3">
      <c r="C27" s="5"/>
      <c r="D27" s="12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3:15" ht="15.75" thickBot="1" x14ac:dyDescent="0.3">
      <c r="C28" s="5"/>
      <c r="D28" s="12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3:15" ht="15.75" thickBot="1" x14ac:dyDescent="0.3">
      <c r="C29" s="5"/>
      <c r="D29" s="1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</sheetData>
  <conditionalFormatting sqref="D6:O29">
    <cfRule type="expression" dxfId="22" priority="2">
      <formula>_xlfn.ISFORMULA(D6)</formula>
    </cfRule>
    <cfRule type="containsBlanks" dxfId="21" priority="3">
      <formula>LEN(TRIM(D6))=0</formula>
    </cfRule>
  </conditionalFormatting>
  <conditionalFormatting sqref="G15">
    <cfRule type="expression" dxfId="20" priority="1">
      <formula>ISNOTFORMULA(D6)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0A35-DD33-4388-8FA3-25D5F19A7937}">
  <dimension ref="B8:N42"/>
  <sheetViews>
    <sheetView topLeftCell="A9" zoomScale="85" zoomScaleNormal="85" workbookViewId="0">
      <selection activeCell="E18" sqref="E18"/>
    </sheetView>
  </sheetViews>
  <sheetFormatPr defaultRowHeight="15" x14ac:dyDescent="0.25"/>
  <cols>
    <col min="2" max="2" width="19.7109375" customWidth="1"/>
    <col min="3" max="3" width="11.7109375" bestFit="1" customWidth="1"/>
    <col min="4" max="4" width="13" customWidth="1"/>
  </cols>
  <sheetData>
    <row r="8" spans="2:14" x14ac:dyDescent="0.25">
      <c r="D8" s="14"/>
    </row>
    <row r="9" spans="2:14" ht="15.75" thickBot="1" x14ac:dyDescent="0.3">
      <c r="D9" s="15"/>
    </row>
    <row r="10" spans="2:14" ht="32.25" thickBot="1" x14ac:dyDescent="0.55000000000000004">
      <c r="B10" s="13"/>
      <c r="D10" s="3"/>
    </row>
    <row r="11" spans="2:14" x14ac:dyDescent="0.25">
      <c r="D11" s="16"/>
    </row>
    <row r="12" spans="2:14" ht="15.75" thickBot="1" x14ac:dyDescent="0.3"/>
    <row r="13" spans="2:14" ht="30.75" thickBot="1" x14ac:dyDescent="0.3">
      <c r="B13" s="1"/>
      <c r="C13" s="6" t="s">
        <v>11</v>
      </c>
      <c r="D13" s="7" t="s">
        <v>16</v>
      </c>
      <c r="E13" s="7" t="s">
        <v>17</v>
      </c>
      <c r="F13" s="7" t="s">
        <v>18</v>
      </c>
      <c r="G13" s="7"/>
      <c r="H13" s="7"/>
      <c r="I13" s="7"/>
      <c r="J13" s="7"/>
      <c r="K13" s="7"/>
      <c r="L13" s="7"/>
      <c r="M13" s="7"/>
      <c r="N13" s="8"/>
    </row>
    <row r="14" spans="2:14" x14ac:dyDescent="0.25">
      <c r="B14" s="2" t="s">
        <v>19</v>
      </c>
      <c r="C14" s="9">
        <v>30</v>
      </c>
      <c r="D14" s="9">
        <v>18</v>
      </c>
      <c r="E14" s="9">
        <v>9.8000000000000007</v>
      </c>
      <c r="F14" s="9">
        <v>5.48</v>
      </c>
      <c r="G14" s="11"/>
      <c r="H14" s="11"/>
      <c r="I14" s="11"/>
      <c r="J14" s="11"/>
      <c r="K14" s="11"/>
      <c r="L14" s="11"/>
      <c r="M14" s="10"/>
      <c r="N14" s="10"/>
    </row>
    <row r="15" spans="2:14" x14ac:dyDescent="0.25">
      <c r="B15" s="4" t="s">
        <v>20</v>
      </c>
      <c r="C15" s="12">
        <v>40</v>
      </c>
      <c r="D15" s="12">
        <v>40</v>
      </c>
      <c r="E15" s="12">
        <v>40</v>
      </c>
      <c r="F15" s="12">
        <v>74</v>
      </c>
      <c r="G15" s="12"/>
      <c r="H15" s="12"/>
      <c r="I15" s="12"/>
      <c r="J15" s="10"/>
      <c r="K15" s="10"/>
      <c r="L15" s="10"/>
      <c r="M15" s="10"/>
      <c r="N15" s="10"/>
    </row>
    <row r="16" spans="2:14" ht="24.75" customHeight="1" x14ac:dyDescent="0.25">
      <c r="B16" s="4" t="s">
        <v>15</v>
      </c>
      <c r="C16" s="12">
        <v>16.29</v>
      </c>
      <c r="D16" s="12">
        <v>9.7799999999999994</v>
      </c>
      <c r="E16" s="12">
        <v>8.16</v>
      </c>
      <c r="F16" s="12">
        <v>7.3</v>
      </c>
      <c r="G16" s="12"/>
      <c r="H16" s="12"/>
      <c r="I16" s="12"/>
      <c r="J16" s="10"/>
      <c r="K16" s="10"/>
      <c r="L16" s="10"/>
      <c r="M16" s="10"/>
      <c r="N16" s="10"/>
    </row>
    <row r="17" spans="2:14" x14ac:dyDescent="0.25">
      <c r="B17" s="4" t="s">
        <v>21</v>
      </c>
      <c r="C17" s="12">
        <v>3.71</v>
      </c>
      <c r="D17" s="12">
        <v>2.2200000000000002</v>
      </c>
      <c r="E17" s="12">
        <v>4.08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</row>
    <row r="18" spans="2:14" x14ac:dyDescent="0.25">
      <c r="B18" s="4" t="s">
        <v>3</v>
      </c>
      <c r="C18" s="12">
        <f>C17/C16</f>
        <v>0.22774708410067526</v>
      </c>
      <c r="D18" s="12">
        <f t="shared" ref="D18:F18" si="0">D17/D16</f>
        <v>0.22699386503067487</v>
      </c>
      <c r="E18" s="12">
        <f t="shared" si="0"/>
        <v>0.5</v>
      </c>
      <c r="F18" s="12">
        <f t="shared" si="0"/>
        <v>0</v>
      </c>
      <c r="G18" s="10"/>
      <c r="H18" s="10"/>
      <c r="I18" s="10"/>
      <c r="J18" s="10"/>
      <c r="K18" s="10"/>
      <c r="L18" s="10"/>
      <c r="M18" s="10"/>
      <c r="N18" s="10"/>
    </row>
    <row r="19" spans="2:14" ht="15.75" thickBot="1" x14ac:dyDescent="0.3">
      <c r="B19" s="5" t="s">
        <v>2</v>
      </c>
      <c r="C19" s="12">
        <f>0</f>
        <v>0</v>
      </c>
      <c r="D19" s="12">
        <f>0</f>
        <v>0</v>
      </c>
      <c r="E19" s="12">
        <f>0</f>
        <v>0</v>
      </c>
      <c r="F19" s="12">
        <f>0</f>
        <v>0</v>
      </c>
      <c r="G19" s="10"/>
      <c r="H19" s="10"/>
      <c r="I19" s="10"/>
      <c r="J19" s="10"/>
      <c r="K19" s="10"/>
      <c r="L19" s="10"/>
      <c r="M19" s="10"/>
      <c r="N19" s="10"/>
    </row>
    <row r="20" spans="2:14" ht="15.75" thickBot="1" x14ac:dyDescent="0.3">
      <c r="B20" s="5" t="s">
        <v>4</v>
      </c>
      <c r="C20" s="12">
        <f>(C16+C17)/2</f>
        <v>10</v>
      </c>
      <c r="D20" s="12">
        <f t="shared" ref="D20:E20" si="1">(D16+D17)/2</f>
        <v>6</v>
      </c>
      <c r="E20" s="12">
        <f t="shared" si="1"/>
        <v>6.12</v>
      </c>
      <c r="F20" s="12">
        <f t="shared" ref="F20" si="2">(F16+F17)/2</f>
        <v>3.65</v>
      </c>
      <c r="G20" s="10"/>
      <c r="H20" s="10"/>
      <c r="I20" s="10"/>
      <c r="J20" s="10"/>
      <c r="K20" s="10"/>
      <c r="L20" s="10"/>
      <c r="M20" s="10"/>
      <c r="N20" s="10"/>
    </row>
    <row r="21" spans="2:14" ht="30.75" thickBot="1" x14ac:dyDescent="0.3">
      <c r="B21" s="5" t="s">
        <v>5</v>
      </c>
      <c r="C21" s="12">
        <f>(2/3) * (C16) * ( (1 + C18 + C18^2) / (1 + C18))</f>
        <v>11.318803333333333</v>
      </c>
      <c r="D21" s="12">
        <f t="shared" ref="D21:E21" si="3">(2/3) * (D16) * ( (1 + D18 + D18^2) / (1 + D18))</f>
        <v>6.7937999999999992</v>
      </c>
      <c r="E21" s="12">
        <f t="shared" si="3"/>
        <v>6.3466666666666667</v>
      </c>
      <c r="F21" s="12">
        <f t="shared" ref="F21" si="4">(2/3) * (F16) * ( (1 + F18 + F18^2) / (1 + F18))</f>
        <v>4.8666666666666663</v>
      </c>
      <c r="G21" s="10"/>
      <c r="H21" s="10"/>
      <c r="I21" s="10"/>
      <c r="J21" s="10"/>
      <c r="K21" s="10"/>
      <c r="L21" s="10"/>
      <c r="M21" s="10"/>
      <c r="N21" s="10"/>
    </row>
    <row r="22" spans="2:14" ht="30.75" thickBot="1" x14ac:dyDescent="0.3">
      <c r="B22" s="5" t="s">
        <v>6</v>
      </c>
      <c r="C22" s="12">
        <f>TAN(C15*PI()/180) + C16/(2*C14)*(C18-1)</f>
        <v>0.62943296451061326</v>
      </c>
      <c r="D22" s="12">
        <f t="shared" ref="D22:E22" si="5">TAN(D15*PI()/180) + D16/(2*D14)*(D18-1)</f>
        <v>0.62909963117727996</v>
      </c>
      <c r="E22" s="12">
        <f t="shared" si="5"/>
        <v>0.63093636587115753</v>
      </c>
      <c r="F22" s="12">
        <f t="shared" ref="F22" si="6">TAN(F15*PI()/180) + F16/(2*F14)*(F18-1)</f>
        <v>2.8213560496803249</v>
      </c>
      <c r="G22" s="10"/>
      <c r="H22" s="10"/>
      <c r="I22" s="10"/>
      <c r="J22" s="10"/>
      <c r="K22" s="10"/>
      <c r="L22" s="10"/>
      <c r="M22" s="10"/>
      <c r="N22" s="10"/>
    </row>
    <row r="23" spans="2:14" ht="15.75" thickBot="1" x14ac:dyDescent="0.3">
      <c r="B23" s="5" t="s">
        <v>7</v>
      </c>
      <c r="C23" s="12">
        <f>(C14*C16*(1+C18)/2)</f>
        <v>300</v>
      </c>
      <c r="D23" s="12">
        <f t="shared" ref="D23:E23" si="7">(D14*D16*(1+D18)/2)</f>
        <v>108</v>
      </c>
      <c r="E23" s="12">
        <f t="shared" si="7"/>
        <v>59.975999999999999</v>
      </c>
      <c r="F23" s="12">
        <f t="shared" ref="F23" si="8">(F14*F16*(1+F18)/2)</f>
        <v>20.002000000000002</v>
      </c>
      <c r="G23" s="10"/>
      <c r="H23" s="10"/>
      <c r="I23" s="10"/>
      <c r="J23" s="10"/>
      <c r="K23" s="10"/>
      <c r="L23" s="10"/>
      <c r="M23" s="10"/>
      <c r="N23" s="10"/>
    </row>
    <row r="24" spans="2:14" ht="15.75" thickBot="1" x14ac:dyDescent="0.3">
      <c r="B24" s="5" t="s">
        <v>8</v>
      </c>
      <c r="C24" s="12">
        <f>C14^2/C23</f>
        <v>3</v>
      </c>
      <c r="D24" s="12">
        <f t="shared" ref="D24:F24" si="9">D14^2/D23</f>
        <v>3</v>
      </c>
      <c r="E24" s="12">
        <f t="shared" si="9"/>
        <v>1.601307189542484</v>
      </c>
      <c r="F24" s="12">
        <f t="shared" si="9"/>
        <v>1.5013698630136987</v>
      </c>
      <c r="G24" s="10"/>
      <c r="H24" s="10"/>
      <c r="I24" s="10"/>
      <c r="J24" s="10"/>
      <c r="K24" s="10"/>
      <c r="L24" s="10"/>
      <c r="M24" s="10"/>
      <c r="N24" s="10"/>
    </row>
    <row r="25" spans="2:14" ht="30.75" thickBot="1" x14ac:dyDescent="0.3">
      <c r="B25" s="5" t="s">
        <v>22</v>
      </c>
      <c r="C25" s="12" t="s">
        <v>32</v>
      </c>
      <c r="D25" s="12" t="s">
        <v>33</v>
      </c>
      <c r="E25" s="12" t="s">
        <v>33</v>
      </c>
      <c r="F25" s="12" t="s">
        <v>33</v>
      </c>
      <c r="G25" s="10"/>
      <c r="H25" s="10"/>
      <c r="I25" s="10"/>
      <c r="J25" s="10"/>
      <c r="K25" s="10"/>
      <c r="L25" s="10"/>
      <c r="M25" s="10"/>
      <c r="N25" s="10"/>
    </row>
    <row r="26" spans="2:14" ht="15.75" thickBot="1" x14ac:dyDescent="0.3">
      <c r="B26" s="5" t="s">
        <v>12</v>
      </c>
      <c r="C26" s="12">
        <v>0.04</v>
      </c>
      <c r="D26" s="12">
        <v>0.04</v>
      </c>
      <c r="E26" s="12">
        <v>0.04</v>
      </c>
      <c r="F26" s="12">
        <v>0.04</v>
      </c>
      <c r="G26" s="10"/>
      <c r="H26" s="10"/>
      <c r="I26" s="10"/>
      <c r="J26" s="10"/>
      <c r="K26" s="10"/>
      <c r="L26" s="10"/>
      <c r="M26" s="10"/>
      <c r="N26" s="10"/>
    </row>
    <row r="27" spans="2:14" ht="15.75" thickBot="1" x14ac:dyDescent="0.3">
      <c r="B27" s="5" t="s">
        <v>23</v>
      </c>
      <c r="C27" s="12">
        <v>1.43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</row>
    <row r="28" spans="2:14" ht="15.75" thickBot="1" x14ac:dyDescent="0.3">
      <c r="B28" s="5" t="s">
        <v>13</v>
      </c>
      <c r="C28" s="12">
        <f>-1.0469</f>
        <v>-1.0468999999999999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</row>
    <row r="29" spans="2:14" ht="15.75" thickBot="1" x14ac:dyDescent="0.3">
      <c r="B29" s="5" t="s">
        <v>14</v>
      </c>
      <c r="C29" s="12">
        <v>0.1</v>
      </c>
      <c r="D29" s="12">
        <v>0.105</v>
      </c>
      <c r="E29" s="12">
        <v>0.105</v>
      </c>
      <c r="F29" s="12">
        <v>0.105</v>
      </c>
      <c r="G29" s="10"/>
      <c r="H29" s="10"/>
      <c r="I29" s="10"/>
      <c r="J29" s="10"/>
      <c r="K29" s="10"/>
      <c r="L29" s="10"/>
      <c r="M29" s="10"/>
      <c r="N29" s="10"/>
    </row>
    <row r="30" spans="2:14" ht="15.75" thickBot="1" x14ac:dyDescent="0.3">
      <c r="B30" s="5" t="s">
        <v>38</v>
      </c>
      <c r="C30" s="12"/>
      <c r="D30" s="10"/>
      <c r="E30" s="10">
        <v>7.0000000000000007E-2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.75" thickBot="1" x14ac:dyDescent="0.3">
      <c r="B31" s="5" t="s">
        <v>39</v>
      </c>
      <c r="C31" s="12"/>
      <c r="D31" s="10">
        <v>0.4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.75" thickBot="1" x14ac:dyDescent="0.3">
      <c r="B32" s="5" t="s">
        <v>40</v>
      </c>
      <c r="C32" s="12">
        <f>0.3</f>
        <v>0.3</v>
      </c>
      <c r="D32" s="12"/>
      <c r="E32" s="12"/>
      <c r="F32" s="12"/>
      <c r="G32" s="10"/>
      <c r="H32" s="10"/>
      <c r="I32" s="10"/>
      <c r="J32" s="10"/>
      <c r="K32" s="10"/>
      <c r="L32" s="10"/>
      <c r="M32" s="10"/>
      <c r="N32" s="10"/>
    </row>
    <row r="33" spans="2:14" ht="45.75" thickBot="1" x14ac:dyDescent="0.3">
      <c r="B33" s="5" t="s">
        <v>137</v>
      </c>
      <c r="C33" s="12">
        <f>(1/6)*((1+2*C18)/(1+C18))</f>
        <v>0.19758333333333333</v>
      </c>
      <c r="D33" s="12">
        <f t="shared" ref="D33:F33" si="10">(1/6)*((1+2*D18)/(1+D18))</f>
        <v>0.19750000000000001</v>
      </c>
      <c r="E33" s="12">
        <f t="shared" si="10"/>
        <v>0.22222222222222221</v>
      </c>
      <c r="F33" s="12">
        <f t="shared" si="10"/>
        <v>0.16666666666666666</v>
      </c>
      <c r="G33" s="10"/>
      <c r="H33" s="10"/>
      <c r="I33" s="10"/>
      <c r="J33" s="10"/>
      <c r="K33" s="10"/>
      <c r="L33" s="10"/>
      <c r="M33" s="10"/>
      <c r="N33" s="10"/>
    </row>
    <row r="34" spans="2:14" ht="15.75" thickBot="1" x14ac:dyDescent="0.3">
      <c r="B34" s="5" t="s">
        <v>138</v>
      </c>
      <c r="C34" s="12">
        <f>C33*C14</f>
        <v>5.9275000000000002</v>
      </c>
      <c r="D34" s="12">
        <f t="shared" ref="D34:F34" si="11">D33*D14</f>
        <v>3.5550000000000002</v>
      </c>
      <c r="E34" s="12">
        <f t="shared" si="11"/>
        <v>2.177777777777778</v>
      </c>
      <c r="F34" s="12">
        <f t="shared" si="11"/>
        <v>0.91333333333333333</v>
      </c>
      <c r="G34" s="10"/>
      <c r="H34" s="10"/>
      <c r="I34" s="10"/>
      <c r="J34" s="10"/>
      <c r="K34" s="10"/>
      <c r="L34" s="10"/>
      <c r="M34" s="10"/>
      <c r="N34" s="10"/>
    </row>
    <row r="35" spans="2:14" ht="15.75" thickBot="1" x14ac:dyDescent="0.3">
      <c r="B35" s="5" t="s">
        <v>151</v>
      </c>
      <c r="C35" s="12">
        <v>0.5</v>
      </c>
      <c r="D35" s="10">
        <v>0.04</v>
      </c>
      <c r="E35" s="10">
        <v>0.04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.75" thickBot="1" x14ac:dyDescent="0.3">
      <c r="B36" s="5" t="s">
        <v>152</v>
      </c>
      <c r="C36" s="12">
        <v>1</v>
      </c>
      <c r="D36" s="10">
        <v>1.05</v>
      </c>
      <c r="E36" s="10">
        <v>1.05</v>
      </c>
      <c r="F36" s="10">
        <v>1</v>
      </c>
      <c r="G36" s="10"/>
      <c r="H36" s="10"/>
      <c r="I36" s="10"/>
      <c r="J36" s="10"/>
      <c r="K36" s="10"/>
      <c r="L36" s="10"/>
      <c r="M36" s="10"/>
      <c r="N36" s="10"/>
    </row>
    <row r="37" spans="2:14" ht="30.75" thickBot="1" x14ac:dyDescent="0.3">
      <c r="B37" s="5" t="s">
        <v>174</v>
      </c>
      <c r="C37" s="19" t="s">
        <v>175</v>
      </c>
      <c r="D37" s="20" t="s">
        <v>176</v>
      </c>
      <c r="E37" s="20" t="s">
        <v>176</v>
      </c>
      <c r="F37" s="20" t="s">
        <v>176</v>
      </c>
      <c r="G37" s="10"/>
      <c r="H37" s="10"/>
      <c r="I37" s="10"/>
      <c r="J37" s="10"/>
      <c r="K37" s="10"/>
      <c r="L37" s="10"/>
      <c r="M37" s="10"/>
      <c r="N37" s="10"/>
    </row>
    <row r="38" spans="2:14" ht="15.75" thickBot="1" x14ac:dyDescent="0.3">
      <c r="B38" s="5" t="s">
        <v>188</v>
      </c>
      <c r="C38" s="12">
        <v>13.36</v>
      </c>
      <c r="D38" s="10">
        <v>6.84</v>
      </c>
      <c r="E38" s="10">
        <v>7.12</v>
      </c>
      <c r="F38" s="10">
        <v>7.3</v>
      </c>
      <c r="G38" s="10"/>
      <c r="H38" s="10"/>
      <c r="I38" s="10"/>
      <c r="J38" s="10"/>
      <c r="K38" s="10"/>
      <c r="L38" s="10"/>
      <c r="M38" s="10"/>
      <c r="N38" s="10"/>
    </row>
    <row r="39" spans="2:14" ht="15.75" thickBot="1" x14ac:dyDescent="0.3">
      <c r="B39" s="5" t="s">
        <v>189</v>
      </c>
      <c r="C39" s="12">
        <v>11.5</v>
      </c>
      <c r="D39" s="10">
        <v>5.5</v>
      </c>
      <c r="E39" s="10">
        <v>7.3</v>
      </c>
      <c r="F39" s="10">
        <v>2.74</v>
      </c>
      <c r="G39" s="10"/>
      <c r="H39" s="10"/>
      <c r="I39" s="10"/>
      <c r="J39" s="10"/>
      <c r="K39" s="10"/>
      <c r="L39" s="10"/>
      <c r="M39" s="10"/>
      <c r="N39" s="10"/>
    </row>
    <row r="40" spans="2:14" ht="15.75" thickBot="1" x14ac:dyDescent="0.3">
      <c r="B40" s="5" t="s">
        <v>229</v>
      </c>
      <c r="C40" s="12">
        <v>17.79</v>
      </c>
      <c r="D40" s="10">
        <v>36</v>
      </c>
      <c r="E40" s="10">
        <v>36</v>
      </c>
      <c r="F40" s="10">
        <v>12</v>
      </c>
      <c r="G40" s="10"/>
      <c r="H40" s="10"/>
      <c r="I40" s="10"/>
      <c r="J40" s="10"/>
      <c r="K40" s="10"/>
      <c r="L40" s="10"/>
      <c r="M40" s="10"/>
      <c r="N40" s="10"/>
    </row>
    <row r="41" spans="2:14" ht="15.75" thickBot="1" x14ac:dyDescent="0.3">
      <c r="B41" s="5" t="s">
        <v>228</v>
      </c>
      <c r="C41" s="12">
        <v>0.06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2:14" ht="15.75" thickBot="1" x14ac:dyDescent="0.3">
      <c r="B42" s="5"/>
      <c r="C42" s="1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</sheetData>
  <conditionalFormatting sqref="C14:N42">
    <cfRule type="expression" dxfId="19" priority="1">
      <formula>ISNOTFORMULA(C14)</formula>
    </cfRule>
    <cfRule type="expression" dxfId="18" priority="2">
      <formula>_xlfn.ISFORMULA(C14)</formula>
    </cfRule>
    <cfRule type="containsBlanks" dxfId="17" priority="3">
      <formula>LEN(TRIM(C14))=0</formula>
    </cfRule>
  </conditionalFormatting>
  <pageMargins left="0.7" right="0.7" top="0.75" bottom="0.75" header="0.3" footer="0.3"/>
  <ignoredErrors>
    <ignoredError sqref="F1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0FBE-B769-4986-BB7E-BD6C15EED0AA}">
  <dimension ref="B8:N37"/>
  <sheetViews>
    <sheetView topLeftCell="A13" workbookViewId="0">
      <selection activeCell="C15" sqref="C15"/>
    </sheetView>
  </sheetViews>
  <sheetFormatPr defaultRowHeight="15" x14ac:dyDescent="0.25"/>
  <cols>
    <col min="2" max="2" width="24.28515625" customWidth="1"/>
    <col min="3" max="3" width="11.7109375" bestFit="1" customWidth="1"/>
    <col min="4" max="4" width="13" customWidth="1"/>
    <col min="5" max="5" width="11.85546875" bestFit="1" customWidth="1"/>
  </cols>
  <sheetData>
    <row r="8" spans="2:14" x14ac:dyDescent="0.25">
      <c r="D8" s="14"/>
    </row>
    <row r="9" spans="2:14" ht="15.75" thickBot="1" x14ac:dyDescent="0.3">
      <c r="D9" s="15"/>
    </row>
    <row r="10" spans="2:14" ht="32.25" thickBot="1" x14ac:dyDescent="0.55000000000000004">
      <c r="B10" s="13"/>
      <c r="D10" s="3"/>
    </row>
    <row r="11" spans="2:14" x14ac:dyDescent="0.25">
      <c r="D11" s="16"/>
    </row>
    <row r="12" spans="2:14" ht="15.75" thickBot="1" x14ac:dyDescent="0.3"/>
    <row r="13" spans="2:14" ht="15.75" thickBot="1" x14ac:dyDescent="0.3">
      <c r="B13" s="1"/>
      <c r="C13" s="6" t="s">
        <v>146</v>
      </c>
      <c r="D13" s="6" t="s">
        <v>9</v>
      </c>
      <c r="E13" s="7" t="s">
        <v>145</v>
      </c>
      <c r="F13" s="7"/>
      <c r="G13" s="7"/>
      <c r="H13" s="7"/>
      <c r="I13" s="7"/>
      <c r="J13" s="7"/>
      <c r="K13" s="7"/>
      <c r="L13" s="7"/>
      <c r="M13" s="7"/>
      <c r="N13" s="8"/>
    </row>
    <row r="14" spans="2:14" x14ac:dyDescent="0.25">
      <c r="B14" s="2" t="s">
        <v>10</v>
      </c>
      <c r="C14" s="9">
        <v>46.5</v>
      </c>
      <c r="D14" s="9">
        <f>C14*(2/3)</f>
        <v>31</v>
      </c>
      <c r="E14" s="9">
        <f>C14/3</f>
        <v>15.5</v>
      </c>
      <c r="F14" s="9"/>
      <c r="G14" s="11"/>
      <c r="H14" s="11"/>
      <c r="I14" s="11"/>
      <c r="J14" s="11"/>
      <c r="K14" s="11"/>
      <c r="L14" s="11"/>
      <c r="M14" s="10"/>
      <c r="N14" s="10"/>
    </row>
    <row r="15" spans="2:14" x14ac:dyDescent="0.25">
      <c r="B15" s="4" t="s">
        <v>24</v>
      </c>
      <c r="C15" s="12">
        <v>7.5</v>
      </c>
      <c r="D15" s="12">
        <v>7.5</v>
      </c>
      <c r="E15" s="12">
        <v>7</v>
      </c>
      <c r="F15" s="12"/>
      <c r="G15" s="12"/>
      <c r="H15" s="12"/>
      <c r="I15" s="12"/>
      <c r="J15" s="10"/>
      <c r="K15" s="10"/>
      <c r="L15" s="10"/>
      <c r="M15" s="10"/>
      <c r="N15" s="10"/>
    </row>
    <row r="16" spans="2:14" ht="24.75" customHeight="1" x14ac:dyDescent="0.25">
      <c r="B16" s="4" t="s">
        <v>190</v>
      </c>
      <c r="C16" s="12">
        <v>5</v>
      </c>
      <c r="D16" s="12">
        <v>5</v>
      </c>
      <c r="E16" s="12"/>
      <c r="F16" s="12"/>
      <c r="G16" s="12"/>
      <c r="H16" s="12"/>
      <c r="I16" s="12"/>
      <c r="J16" s="10"/>
      <c r="K16" s="10"/>
      <c r="L16" s="10"/>
      <c r="M16" s="10"/>
      <c r="N16" s="10"/>
    </row>
    <row r="17" spans="2:14" x14ac:dyDescent="0.25">
      <c r="B17" s="4" t="s">
        <v>42</v>
      </c>
      <c r="C17" s="12"/>
      <c r="D17" s="12"/>
      <c r="E17" s="12"/>
      <c r="F17" s="12"/>
      <c r="G17" s="10"/>
      <c r="H17" s="10"/>
      <c r="I17" s="10"/>
      <c r="J17" s="10"/>
      <c r="K17" s="10"/>
      <c r="L17" s="10"/>
      <c r="M17" s="10"/>
      <c r="N17" s="10"/>
    </row>
    <row r="18" spans="2:14" x14ac:dyDescent="0.25">
      <c r="B18" s="4" t="s">
        <v>147</v>
      </c>
      <c r="C18" s="12"/>
      <c r="D18" s="12"/>
      <c r="E18" s="12"/>
      <c r="F18" s="12"/>
      <c r="G18" s="10"/>
      <c r="H18" s="10"/>
      <c r="I18" s="10"/>
      <c r="J18" s="10"/>
      <c r="K18" s="10"/>
      <c r="L18" s="10"/>
      <c r="M18" s="10"/>
      <c r="N18" s="10"/>
    </row>
    <row r="19" spans="2:14" ht="15.75" thickBot="1" x14ac:dyDescent="0.3">
      <c r="B19" s="5" t="s">
        <v>148</v>
      </c>
      <c r="C19" s="12"/>
      <c r="D19" s="12">
        <f>D14*D15</f>
        <v>232.5</v>
      </c>
      <c r="E19" s="12">
        <f>(1/2)*E15*E14</f>
        <v>54.25</v>
      </c>
      <c r="F19" s="12"/>
      <c r="G19" s="10"/>
      <c r="H19" s="10"/>
      <c r="I19" s="10"/>
      <c r="J19" s="10"/>
      <c r="K19" s="10"/>
      <c r="L19" s="10"/>
      <c r="M19" s="10"/>
      <c r="N19" s="10"/>
    </row>
    <row r="20" spans="2:14" ht="15.75" thickBot="1" x14ac:dyDescent="0.3">
      <c r="B20" s="5" t="s">
        <v>149</v>
      </c>
      <c r="C20" s="12"/>
      <c r="D20" s="12">
        <f>D19</f>
        <v>232.5</v>
      </c>
      <c r="E20" s="12">
        <f>E19</f>
        <v>54.25</v>
      </c>
      <c r="F20" s="12"/>
      <c r="G20" s="10"/>
      <c r="H20" s="10"/>
      <c r="I20" s="10"/>
      <c r="J20" s="10"/>
      <c r="K20" s="10"/>
      <c r="L20" s="10"/>
      <c r="M20" s="10"/>
      <c r="N20" s="10"/>
    </row>
    <row r="21" spans="2:14" ht="15.75" thickBot="1" x14ac:dyDescent="0.3">
      <c r="B21" s="5" t="s">
        <v>152</v>
      </c>
      <c r="C21" s="12"/>
      <c r="D21" s="12">
        <v>1</v>
      </c>
      <c r="E21" s="12">
        <v>1</v>
      </c>
      <c r="F21" s="12"/>
      <c r="G21" s="10"/>
      <c r="H21" s="10"/>
      <c r="I21" s="10"/>
      <c r="J21" s="10"/>
      <c r="K21" s="10"/>
      <c r="L21" s="10"/>
      <c r="M21" s="10"/>
      <c r="N21" s="10"/>
    </row>
    <row r="22" spans="2:14" ht="15.75" thickBot="1" x14ac:dyDescent="0.3">
      <c r="B22" s="5"/>
      <c r="C22" s="12"/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</row>
    <row r="23" spans="2:14" ht="15.75" thickBot="1" x14ac:dyDescent="0.3">
      <c r="B23" s="5"/>
      <c r="C23" s="12"/>
      <c r="D23" s="12"/>
      <c r="E23" s="12"/>
      <c r="F23" s="12"/>
      <c r="G23" s="10"/>
      <c r="H23" s="10"/>
      <c r="I23" s="10"/>
      <c r="J23" s="10"/>
      <c r="K23" s="10"/>
      <c r="L23" s="10"/>
      <c r="M23" s="10"/>
      <c r="N23" s="10"/>
    </row>
    <row r="24" spans="2:14" ht="15.75" thickBot="1" x14ac:dyDescent="0.3">
      <c r="B24" s="5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</row>
    <row r="25" spans="2:14" ht="15.75" thickBot="1" x14ac:dyDescent="0.3">
      <c r="B25" s="5"/>
      <c r="C25" s="12"/>
      <c r="D25" s="12"/>
      <c r="E25" s="12"/>
      <c r="F25" s="12"/>
      <c r="G25" s="10"/>
      <c r="H25" s="10"/>
      <c r="I25" s="10"/>
      <c r="J25" s="10"/>
      <c r="K25" s="10"/>
      <c r="L25" s="10"/>
      <c r="M25" s="10"/>
      <c r="N25" s="10"/>
    </row>
    <row r="26" spans="2:14" ht="15.75" thickBot="1" x14ac:dyDescent="0.3">
      <c r="B26" s="5"/>
      <c r="C26" s="12"/>
      <c r="D26" s="12"/>
      <c r="E26" s="12"/>
      <c r="F26" s="12"/>
      <c r="G26" s="10"/>
      <c r="H26" s="10"/>
      <c r="I26" s="10"/>
      <c r="J26" s="10"/>
      <c r="K26" s="10"/>
      <c r="L26" s="10"/>
      <c r="M26" s="10"/>
      <c r="N26" s="10"/>
    </row>
    <row r="27" spans="2:14" ht="15.75" thickBot="1" x14ac:dyDescent="0.3">
      <c r="B27" s="5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</row>
    <row r="28" spans="2:14" ht="15.75" thickBot="1" x14ac:dyDescent="0.3">
      <c r="B28" s="5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</row>
    <row r="29" spans="2:14" ht="15.75" thickBot="1" x14ac:dyDescent="0.3">
      <c r="B29" s="5"/>
      <c r="C29" s="12"/>
      <c r="D29" s="12"/>
      <c r="E29" s="12"/>
      <c r="F29" s="12"/>
      <c r="G29" s="10"/>
      <c r="H29" s="10"/>
      <c r="I29" s="10"/>
      <c r="J29" s="10"/>
      <c r="K29" s="10"/>
      <c r="L29" s="10"/>
      <c r="M29" s="10"/>
      <c r="N29" s="10"/>
    </row>
    <row r="30" spans="2:14" ht="15.75" thickBot="1" x14ac:dyDescent="0.3">
      <c r="B30" s="5"/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.75" thickBot="1" x14ac:dyDescent="0.3">
      <c r="B31" s="5"/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.75" thickBot="1" x14ac:dyDescent="0.3">
      <c r="B32" s="5"/>
      <c r="C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.75" thickBot="1" x14ac:dyDescent="0.3">
      <c r="B33" s="5"/>
      <c r="C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5.75" thickBot="1" x14ac:dyDescent="0.3">
      <c r="B34" s="5"/>
      <c r="C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5.75" thickBot="1" x14ac:dyDescent="0.3">
      <c r="B35" s="5"/>
      <c r="C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.75" thickBot="1" x14ac:dyDescent="0.3">
      <c r="B36" s="5"/>
      <c r="C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5.75" thickBot="1" x14ac:dyDescent="0.3">
      <c r="B37" s="5"/>
      <c r="C37" s="1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conditionalFormatting sqref="C14:N37">
    <cfRule type="expression" dxfId="16" priority="1">
      <formula>ISNOTFORMULA(C14)</formula>
    </cfRule>
    <cfRule type="expression" dxfId="15" priority="2">
      <formula>_xlfn.ISFORMULA(C14)</formula>
    </cfRule>
    <cfRule type="containsBlanks" dxfId="14" priority="3">
      <formula>LEN(TRIM(C14))=0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581E-9024-402F-8C3F-057AD5928920}">
  <dimension ref="B8:N37"/>
  <sheetViews>
    <sheetView topLeftCell="A3" workbookViewId="0">
      <selection activeCell="F21" sqref="F21"/>
    </sheetView>
  </sheetViews>
  <sheetFormatPr defaultRowHeight="15" x14ac:dyDescent="0.25"/>
  <cols>
    <col min="2" max="2" width="30.140625" customWidth="1"/>
    <col min="3" max="3" width="11.7109375" bestFit="1" customWidth="1"/>
    <col min="4" max="4" width="13" customWidth="1"/>
    <col min="6" max="6" width="13.42578125" customWidth="1"/>
  </cols>
  <sheetData>
    <row r="8" spans="2:14" x14ac:dyDescent="0.25">
      <c r="D8" s="14"/>
    </row>
    <row r="9" spans="2:14" ht="15.75" thickBot="1" x14ac:dyDescent="0.3">
      <c r="D9" s="15"/>
    </row>
    <row r="10" spans="2:14" ht="32.25" thickBot="1" x14ac:dyDescent="0.55000000000000004">
      <c r="B10" s="13"/>
      <c r="D10" s="3"/>
    </row>
    <row r="11" spans="2:14" x14ac:dyDescent="0.25">
      <c r="D11" s="16"/>
    </row>
    <row r="12" spans="2:14" ht="15.75" thickBot="1" x14ac:dyDescent="0.3"/>
    <row r="13" spans="2:14" ht="30.75" thickBot="1" x14ac:dyDescent="0.3">
      <c r="B13" s="1"/>
      <c r="C13" s="7" t="s">
        <v>30</v>
      </c>
      <c r="D13" s="7" t="s">
        <v>31</v>
      </c>
      <c r="E13" s="7" t="s">
        <v>144</v>
      </c>
      <c r="F13" s="7" t="s">
        <v>227</v>
      </c>
      <c r="G13" s="7"/>
      <c r="H13" s="7"/>
      <c r="I13" s="7"/>
      <c r="J13" s="7"/>
      <c r="K13" s="7"/>
      <c r="L13" s="7"/>
      <c r="M13" s="7"/>
      <c r="N13" s="8"/>
    </row>
    <row r="14" spans="2:14" x14ac:dyDescent="0.25">
      <c r="B14" s="2" t="s">
        <v>41</v>
      </c>
      <c r="C14" s="9">
        <v>15000</v>
      </c>
      <c r="D14" s="9">
        <v>23770</v>
      </c>
      <c r="E14" s="11"/>
      <c r="F14" s="10"/>
      <c r="G14" s="10"/>
      <c r="H14" s="11"/>
      <c r="I14" s="11"/>
      <c r="J14" s="11"/>
      <c r="K14" s="11"/>
      <c r="L14" s="11"/>
      <c r="M14" s="10"/>
      <c r="N14" s="10"/>
    </row>
    <row r="15" spans="2:14" ht="15.75" thickBot="1" x14ac:dyDescent="0.3">
      <c r="B15" s="5" t="s">
        <v>200</v>
      </c>
      <c r="C15" s="12">
        <v>0.7</v>
      </c>
      <c r="D15" s="12">
        <v>2.2000000000000002</v>
      </c>
      <c r="E15" s="12"/>
      <c r="F15" s="10"/>
      <c r="G15" s="10"/>
      <c r="H15" s="12"/>
      <c r="I15" s="12"/>
      <c r="J15" s="10"/>
      <c r="K15" s="10"/>
      <c r="L15" s="10"/>
      <c r="M15" s="10"/>
      <c r="N15" s="10"/>
    </row>
    <row r="16" spans="2:14" ht="24.75" customHeight="1" thickBot="1" x14ac:dyDescent="0.3">
      <c r="B16" s="5" t="s">
        <v>197</v>
      </c>
      <c r="C16" s="12">
        <v>1</v>
      </c>
      <c r="D16" s="12">
        <v>0.5</v>
      </c>
      <c r="E16" s="12"/>
      <c r="F16" s="10"/>
      <c r="G16" s="10"/>
      <c r="H16" s="12"/>
      <c r="I16" s="12"/>
      <c r="J16" s="10"/>
      <c r="K16" s="10"/>
      <c r="L16" s="10"/>
      <c r="M16" s="10"/>
      <c r="N16" s="10"/>
    </row>
    <row r="17" spans="2:14" ht="15.75" thickBot="1" x14ac:dyDescent="0.3">
      <c r="B17" s="5" t="s">
        <v>198</v>
      </c>
      <c r="C17" s="12">
        <v>0.3</v>
      </c>
      <c r="D17" s="12">
        <v>0.1</v>
      </c>
      <c r="E17" s="12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5.75" thickBot="1" x14ac:dyDescent="0.3">
      <c r="B18" s="5" t="s">
        <v>199</v>
      </c>
      <c r="C18" s="12">
        <v>1.7</v>
      </c>
      <c r="D18" s="12">
        <v>2.2000000000000002</v>
      </c>
      <c r="E18" s="12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5.75" thickBot="1" x14ac:dyDescent="0.3">
      <c r="B19" s="5" t="s">
        <v>144</v>
      </c>
      <c r="C19" s="12"/>
      <c r="D19" s="12"/>
      <c r="E19" s="10">
        <v>0.63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15.75" thickBot="1" x14ac:dyDescent="0.3">
      <c r="B20" s="5" t="s">
        <v>226</v>
      </c>
      <c r="C20" s="12"/>
      <c r="D20" s="12"/>
      <c r="E20" s="12"/>
      <c r="F20" s="10">
        <f>PI()*(3.54/2)^2</f>
        <v>9.842295624431463</v>
      </c>
      <c r="G20" s="10"/>
      <c r="H20" s="10"/>
      <c r="I20" s="10"/>
      <c r="J20" s="10"/>
      <c r="K20" s="10"/>
      <c r="L20" s="10"/>
      <c r="M20" s="10"/>
      <c r="N20" s="10"/>
    </row>
    <row r="21" spans="2:14" ht="15.75" thickBot="1" x14ac:dyDescent="0.3">
      <c r="B21" s="5"/>
      <c r="C21" s="12"/>
      <c r="D21" s="12"/>
      <c r="E21" s="12"/>
      <c r="F21" s="12"/>
      <c r="G21" s="10"/>
      <c r="H21" s="10"/>
      <c r="I21" s="10"/>
      <c r="J21" s="10"/>
      <c r="K21" s="10"/>
      <c r="L21" s="10"/>
      <c r="M21" s="10"/>
      <c r="N21" s="10"/>
    </row>
    <row r="22" spans="2:14" ht="15.75" thickBot="1" x14ac:dyDescent="0.3">
      <c r="B22" s="5"/>
      <c r="C22" s="12"/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</row>
    <row r="23" spans="2:14" ht="15.75" thickBot="1" x14ac:dyDescent="0.3">
      <c r="B23" s="5"/>
      <c r="C23" s="12"/>
      <c r="D23" s="12"/>
      <c r="E23" s="12"/>
      <c r="F23" s="12"/>
      <c r="G23" s="10"/>
      <c r="H23" s="10"/>
      <c r="I23" s="10"/>
      <c r="J23" s="10"/>
      <c r="K23" s="10"/>
      <c r="L23" s="10"/>
      <c r="M23" s="10"/>
      <c r="N23" s="10"/>
    </row>
    <row r="24" spans="2:14" ht="15.75" thickBot="1" x14ac:dyDescent="0.3">
      <c r="B24" s="5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</row>
    <row r="25" spans="2:14" ht="15.75" thickBot="1" x14ac:dyDescent="0.3">
      <c r="B25" s="5"/>
      <c r="C25" s="12"/>
      <c r="D25" s="12"/>
      <c r="E25" s="12"/>
      <c r="F25" s="12"/>
      <c r="G25" s="10"/>
      <c r="H25" s="10"/>
      <c r="I25" s="10"/>
      <c r="J25" s="10"/>
      <c r="K25" s="10"/>
      <c r="L25" s="10"/>
      <c r="M25" s="10"/>
      <c r="N25" s="10"/>
    </row>
    <row r="26" spans="2:14" ht="15.75" thickBot="1" x14ac:dyDescent="0.3">
      <c r="B26" s="5"/>
      <c r="C26" s="12"/>
      <c r="D26" s="12"/>
      <c r="E26" s="12"/>
      <c r="F26" s="12"/>
      <c r="G26" s="10"/>
      <c r="H26" s="10"/>
      <c r="I26" s="10"/>
      <c r="J26" s="10"/>
      <c r="K26" s="10"/>
      <c r="L26" s="10"/>
      <c r="M26" s="10"/>
      <c r="N26" s="10"/>
    </row>
    <row r="27" spans="2:14" ht="15.75" thickBot="1" x14ac:dyDescent="0.3">
      <c r="B27" s="5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</row>
    <row r="28" spans="2:14" ht="15.75" thickBot="1" x14ac:dyDescent="0.3">
      <c r="B28" s="5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</row>
    <row r="29" spans="2:14" ht="15.75" thickBot="1" x14ac:dyDescent="0.3">
      <c r="B29" s="5"/>
      <c r="C29" s="12"/>
      <c r="D29" s="12"/>
      <c r="E29" s="12"/>
      <c r="F29" s="12"/>
      <c r="G29" s="10"/>
      <c r="H29" s="10"/>
      <c r="I29" s="10"/>
      <c r="J29" s="10"/>
      <c r="K29" s="10"/>
      <c r="L29" s="10"/>
      <c r="M29" s="10"/>
      <c r="N29" s="10"/>
    </row>
    <row r="30" spans="2:14" ht="15.75" thickBot="1" x14ac:dyDescent="0.3">
      <c r="B30" s="5"/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.75" thickBot="1" x14ac:dyDescent="0.3">
      <c r="B31" s="5"/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.75" thickBot="1" x14ac:dyDescent="0.3">
      <c r="B32" s="5"/>
      <c r="C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.75" thickBot="1" x14ac:dyDescent="0.3">
      <c r="B33" s="5"/>
      <c r="C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5.75" thickBot="1" x14ac:dyDescent="0.3">
      <c r="B34" s="5"/>
      <c r="C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5.75" thickBot="1" x14ac:dyDescent="0.3">
      <c r="B35" s="5"/>
      <c r="C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.75" thickBot="1" x14ac:dyDescent="0.3">
      <c r="B36" s="5"/>
      <c r="C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5.75" thickBot="1" x14ac:dyDescent="0.3">
      <c r="B37" s="5"/>
      <c r="C37" s="1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phoneticPr fontId="4" type="noConversion"/>
  <conditionalFormatting sqref="C14:N37">
    <cfRule type="expression" dxfId="13" priority="2">
      <formula>_xlfn.ISFORMULA(C14)</formula>
    </cfRule>
    <cfRule type="containsBlanks" dxfId="12" priority="3">
      <formula>LEN(TRIM(C14))=0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411D-9791-41D9-8EB0-13E6C33885B9}">
  <dimension ref="B2:N107"/>
  <sheetViews>
    <sheetView tabSelected="1" topLeftCell="A89" workbookViewId="0">
      <selection activeCell="D17" sqref="D17"/>
    </sheetView>
  </sheetViews>
  <sheetFormatPr defaultRowHeight="15" x14ac:dyDescent="0.25"/>
  <cols>
    <col min="4" max="4" width="11.5703125" bestFit="1" customWidth="1"/>
    <col min="5" max="5" width="11.85546875" bestFit="1" customWidth="1"/>
  </cols>
  <sheetData>
    <row r="2" spans="2:14" ht="15.75" thickBot="1" x14ac:dyDescent="0.3"/>
    <row r="3" spans="2:14" ht="30.75" thickBot="1" x14ac:dyDescent="0.3">
      <c r="B3" s="1"/>
      <c r="C3" s="6" t="s">
        <v>34</v>
      </c>
      <c r="D3" s="7" t="s">
        <v>150</v>
      </c>
      <c r="E3" s="7" t="s">
        <v>143</v>
      </c>
      <c r="F3" s="7"/>
      <c r="G3" s="7"/>
      <c r="H3" s="7"/>
      <c r="I3" s="7"/>
      <c r="J3" s="7"/>
      <c r="K3" s="7"/>
      <c r="L3" s="7"/>
      <c r="M3" s="7"/>
      <c r="N3" s="8"/>
    </row>
    <row r="4" spans="2:14" ht="30" x14ac:dyDescent="0.25">
      <c r="B4" s="2" t="s">
        <v>35</v>
      </c>
      <c r="C4" s="9">
        <v>5100</v>
      </c>
      <c r="D4" s="9"/>
      <c r="E4" s="9"/>
      <c r="F4" s="9"/>
      <c r="G4" s="11"/>
      <c r="H4" s="11"/>
      <c r="I4" s="11"/>
      <c r="J4" s="11"/>
      <c r="K4" s="11"/>
      <c r="L4" s="11"/>
      <c r="M4" s="10"/>
      <c r="N4" s="10"/>
    </row>
    <row r="5" spans="2:14" ht="45" x14ac:dyDescent="0.25">
      <c r="B5" s="4" t="s">
        <v>37</v>
      </c>
      <c r="C5" s="12">
        <v>4400</v>
      </c>
      <c r="D5" s="12"/>
      <c r="E5" s="12"/>
      <c r="F5" s="12"/>
      <c r="G5" s="12"/>
      <c r="H5" s="12"/>
      <c r="I5" s="12"/>
      <c r="J5" s="10"/>
      <c r="K5" s="10"/>
      <c r="L5" s="10"/>
      <c r="M5" s="10"/>
      <c r="N5" s="10"/>
    </row>
    <row r="6" spans="2:14" ht="45" x14ac:dyDescent="0.25">
      <c r="B6" s="4" t="s">
        <v>36</v>
      </c>
      <c r="C6" s="12">
        <v>700</v>
      </c>
      <c r="D6" s="12"/>
      <c r="E6" s="12"/>
      <c r="F6" s="12"/>
      <c r="G6" s="12"/>
      <c r="H6" s="12"/>
      <c r="I6" s="12"/>
      <c r="J6" s="10"/>
      <c r="K6" s="10"/>
      <c r="L6" s="10"/>
      <c r="M6" s="10"/>
      <c r="N6" s="10"/>
    </row>
    <row r="7" spans="2:14" ht="30" x14ac:dyDescent="0.25">
      <c r="B7" s="4" t="s">
        <v>192</v>
      </c>
      <c r="C7" s="12">
        <v>45000</v>
      </c>
      <c r="D7" s="12"/>
      <c r="E7" s="12"/>
      <c r="F7" s="12"/>
      <c r="G7" s="12"/>
      <c r="H7" s="12"/>
      <c r="I7" s="12"/>
      <c r="J7" s="10"/>
      <c r="K7" s="10"/>
      <c r="L7" s="10"/>
      <c r="M7" s="10"/>
      <c r="N7" s="10"/>
    </row>
    <row r="8" spans="2:14" x14ac:dyDescent="0.25">
      <c r="B8" s="4" t="s">
        <v>132</v>
      </c>
      <c r="C8" s="12"/>
      <c r="D8" s="12">
        <v>3</v>
      </c>
      <c r="E8" s="12"/>
      <c r="F8" s="12"/>
      <c r="G8" s="12"/>
      <c r="H8" s="12"/>
      <c r="I8" s="12"/>
      <c r="J8" s="10"/>
      <c r="K8" s="10"/>
      <c r="L8" s="10"/>
      <c r="M8" s="10"/>
      <c r="N8" s="10"/>
    </row>
    <row r="9" spans="2:14" x14ac:dyDescent="0.25">
      <c r="B9" s="4" t="s">
        <v>133</v>
      </c>
      <c r="C9" s="12"/>
      <c r="D9" s="12">
        <v>3</v>
      </c>
      <c r="E9" s="12"/>
      <c r="F9" s="12"/>
      <c r="G9" s="12"/>
      <c r="H9" s="12"/>
      <c r="I9" s="12"/>
      <c r="J9" s="10"/>
      <c r="K9" s="10"/>
      <c r="L9" s="10"/>
      <c r="M9" s="10"/>
      <c r="N9" s="10"/>
    </row>
    <row r="10" spans="2:14" x14ac:dyDescent="0.25">
      <c r="B10" s="4" t="s">
        <v>134</v>
      </c>
      <c r="C10" s="12"/>
      <c r="D10" s="12">
        <v>1.6</v>
      </c>
      <c r="E10" s="12"/>
      <c r="F10" s="12"/>
      <c r="G10" s="12"/>
      <c r="H10" s="12"/>
      <c r="I10" s="12"/>
      <c r="J10" s="10"/>
      <c r="K10" s="10"/>
      <c r="L10" s="10"/>
      <c r="M10" s="10"/>
      <c r="N10" s="10"/>
    </row>
    <row r="11" spans="2:14" x14ac:dyDescent="0.25">
      <c r="B11" s="4" t="s">
        <v>135</v>
      </c>
      <c r="C11" s="12"/>
      <c r="D11" s="12">
        <f>Wings!D14</f>
        <v>18</v>
      </c>
      <c r="E11" s="12"/>
      <c r="F11" s="12"/>
      <c r="G11" s="10"/>
      <c r="H11" s="10"/>
      <c r="I11" s="10"/>
      <c r="J11" s="10"/>
      <c r="K11" s="10"/>
      <c r="L11" s="10"/>
      <c r="M11" s="10"/>
      <c r="N11" s="10"/>
    </row>
    <row r="12" spans="2:14" x14ac:dyDescent="0.25">
      <c r="B12" s="4" t="s">
        <v>43</v>
      </c>
      <c r="C12" s="12"/>
      <c r="D12" s="12">
        <f>Wings!C14</f>
        <v>30</v>
      </c>
      <c r="E12" s="12"/>
      <c r="F12" s="12"/>
      <c r="G12" s="10"/>
      <c r="H12" s="10"/>
      <c r="I12" s="10"/>
      <c r="J12" s="10"/>
      <c r="K12" s="10"/>
      <c r="L12" s="10"/>
      <c r="M12" s="10"/>
      <c r="N12" s="10"/>
    </row>
    <row r="13" spans="2:14" x14ac:dyDescent="0.25">
      <c r="B13" s="4" t="s">
        <v>44</v>
      </c>
      <c r="C13" s="12"/>
      <c r="D13" s="12">
        <v>7.5</v>
      </c>
      <c r="E13" s="12"/>
      <c r="F13" s="12"/>
      <c r="G13" s="10"/>
      <c r="H13" s="10"/>
      <c r="I13" s="10"/>
      <c r="J13" s="10"/>
      <c r="K13" s="10"/>
      <c r="L13" s="10"/>
      <c r="M13" s="10"/>
      <c r="N13" s="10"/>
    </row>
    <row r="14" spans="2:14" ht="15.75" thickBot="1" x14ac:dyDescent="0.3">
      <c r="B14" s="5" t="s">
        <v>45</v>
      </c>
      <c r="C14" s="12"/>
      <c r="D14" s="12">
        <v>3.45</v>
      </c>
      <c r="E14" s="12"/>
      <c r="F14" s="12"/>
      <c r="G14" s="10"/>
      <c r="H14" s="10"/>
      <c r="I14" s="10"/>
      <c r="J14" s="10"/>
      <c r="K14" s="10"/>
      <c r="L14" s="10"/>
      <c r="M14" s="10"/>
      <c r="N14" s="10"/>
    </row>
    <row r="15" spans="2:14" ht="15.75" thickBot="1" x14ac:dyDescent="0.3">
      <c r="B15" s="5" t="s">
        <v>46</v>
      </c>
      <c r="C15" s="12"/>
      <c r="D15" s="12">
        <v>7</v>
      </c>
      <c r="E15" s="12"/>
      <c r="F15" s="12"/>
      <c r="G15" s="10"/>
      <c r="H15" s="10"/>
      <c r="I15" s="10"/>
      <c r="J15" s="10"/>
      <c r="K15" s="10"/>
      <c r="L15" s="10"/>
      <c r="M15" s="10"/>
      <c r="N15" s="10"/>
    </row>
    <row r="16" spans="2:14" ht="15.75" thickBot="1" x14ac:dyDescent="0.3">
      <c r="B16" s="5" t="s">
        <v>47</v>
      </c>
      <c r="C16" s="12"/>
      <c r="D16" s="12">
        <f>Wings!D31</f>
        <v>0.4</v>
      </c>
      <c r="E16" s="12"/>
      <c r="F16" s="12"/>
      <c r="G16" s="10"/>
      <c r="H16" s="10"/>
      <c r="I16" s="10"/>
      <c r="J16" s="10"/>
      <c r="K16" s="10"/>
      <c r="L16" s="10"/>
      <c r="M16" s="10"/>
      <c r="N16" s="10"/>
    </row>
    <row r="17" spans="2:14" ht="15.75" thickBot="1" x14ac:dyDescent="0.3">
      <c r="B17" s="5" t="s">
        <v>136</v>
      </c>
      <c r="C17" s="12"/>
      <c r="D17" s="12">
        <v>0</v>
      </c>
      <c r="E17" s="12"/>
      <c r="F17" s="12"/>
      <c r="G17" s="10"/>
      <c r="H17" s="10"/>
      <c r="I17" s="10"/>
      <c r="J17" s="10"/>
      <c r="K17" s="10"/>
      <c r="L17" s="10"/>
      <c r="M17" s="10"/>
      <c r="N17" s="10"/>
    </row>
    <row r="18" spans="2:14" ht="15.75" thickBot="1" x14ac:dyDescent="0.3">
      <c r="B18" s="5" t="s">
        <v>48</v>
      </c>
      <c r="C18" s="12"/>
      <c r="D18" s="12">
        <v>3.5</v>
      </c>
      <c r="E18" s="12"/>
      <c r="F18" s="12"/>
      <c r="G18" s="10"/>
      <c r="H18" s="10"/>
      <c r="I18" s="10"/>
      <c r="J18" s="10"/>
      <c r="K18" s="10"/>
      <c r="L18" s="10"/>
      <c r="M18" s="10"/>
      <c r="N18" s="10"/>
    </row>
    <row r="19" spans="2:14" ht="15.75" thickBot="1" x14ac:dyDescent="0.3">
      <c r="B19" s="5" t="s">
        <v>49</v>
      </c>
      <c r="C19" s="12"/>
      <c r="D19" s="12">
        <f>E107</f>
        <v>100.61584000000002</v>
      </c>
      <c r="E19" s="12"/>
      <c r="F19" s="12"/>
      <c r="G19" s="10"/>
      <c r="H19" s="10"/>
      <c r="I19" s="10"/>
      <c r="J19" s="10"/>
      <c r="K19" s="10"/>
      <c r="L19" s="10"/>
      <c r="M19" s="10"/>
      <c r="N19" s="10"/>
    </row>
    <row r="20" spans="2:14" ht="15.75" thickBot="1" x14ac:dyDescent="0.3">
      <c r="B20" s="5" t="s">
        <v>50</v>
      </c>
      <c r="C20" s="12"/>
      <c r="D20" s="12">
        <v>1</v>
      </c>
      <c r="E20" s="12"/>
      <c r="F20" s="12"/>
      <c r="G20" s="10"/>
      <c r="H20" s="10"/>
      <c r="I20" s="10"/>
      <c r="J20" s="10"/>
      <c r="K20" s="10"/>
      <c r="L20" s="10"/>
      <c r="M20" s="10"/>
      <c r="N20" s="10"/>
    </row>
    <row r="21" spans="2:14" ht="15.75" thickBot="1" x14ac:dyDescent="0.3">
      <c r="B21" s="5" t="s">
        <v>51</v>
      </c>
      <c r="C21" s="12"/>
      <c r="D21" s="12">
        <v>3.43</v>
      </c>
      <c r="E21" s="12"/>
      <c r="F21" s="12"/>
      <c r="G21" s="10"/>
      <c r="H21" s="10"/>
      <c r="I21" s="10"/>
      <c r="J21" s="10"/>
      <c r="K21" s="10"/>
      <c r="L21" s="10"/>
      <c r="M21" s="10"/>
      <c r="N21" s="10"/>
    </row>
    <row r="22" spans="2:14" ht="15.75" thickBot="1" x14ac:dyDescent="0.3">
      <c r="B22" s="5" t="s">
        <v>52</v>
      </c>
      <c r="C22" s="12"/>
      <c r="D22" s="12">
        <v>1</v>
      </c>
      <c r="E22" s="12"/>
      <c r="F22" s="12"/>
      <c r="G22" s="10"/>
      <c r="H22" s="10"/>
      <c r="I22" s="10"/>
      <c r="J22" s="10"/>
      <c r="K22" s="10"/>
      <c r="L22" s="10"/>
      <c r="M22" s="10"/>
      <c r="N22" s="10"/>
    </row>
    <row r="23" spans="2:14" ht="15.75" thickBot="1" x14ac:dyDescent="0.3">
      <c r="B23" s="5" t="s">
        <v>53</v>
      </c>
      <c r="C23" s="12"/>
      <c r="D23" s="12">
        <v>0.76800000000000002</v>
      </c>
      <c r="E23" s="12"/>
      <c r="F23" s="12"/>
      <c r="G23" s="10"/>
      <c r="H23" s="10"/>
      <c r="I23" s="10"/>
      <c r="J23" s="10"/>
      <c r="K23" s="10"/>
      <c r="L23" s="10"/>
      <c r="M23" s="10"/>
      <c r="N23" s="10"/>
    </row>
    <row r="24" spans="2:14" ht="15.75" thickBot="1" x14ac:dyDescent="0.3">
      <c r="B24" s="5" t="s">
        <v>54</v>
      </c>
      <c r="C24" s="12"/>
      <c r="D24" s="12">
        <v>0.77400000000000002</v>
      </c>
      <c r="E24" s="12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15.75" thickBot="1" x14ac:dyDescent="0.3">
      <c r="B25" s="5" t="s">
        <v>55</v>
      </c>
      <c r="C25" s="12"/>
      <c r="D25" s="12">
        <v>0.12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 ht="15.75" thickBot="1" x14ac:dyDescent="0.3">
      <c r="B26" s="5" t="s">
        <v>56</v>
      </c>
      <c r="C26" s="12"/>
      <c r="D26" s="10">
        <v>1.1200000000000001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4" ht="15.75" thickBot="1" x14ac:dyDescent="0.3">
      <c r="B27" s="5" t="s">
        <v>57</v>
      </c>
      <c r="C27" s="12"/>
      <c r="D27" s="10">
        <v>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2:14" ht="15.75" thickBot="1" x14ac:dyDescent="0.3">
      <c r="B28" s="5" t="s">
        <v>58</v>
      </c>
      <c r="C28" s="12"/>
      <c r="D28" s="10">
        <v>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4" ht="15.75" thickBot="1" x14ac:dyDescent="0.3">
      <c r="B29" s="5" t="s">
        <v>59</v>
      </c>
      <c r="C29" s="12"/>
      <c r="D29" s="10">
        <v>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14" ht="15.75" thickBot="1" x14ac:dyDescent="0.3">
      <c r="B30" s="5" t="s">
        <v>60</v>
      </c>
      <c r="C30" s="12"/>
      <c r="D30" s="10">
        <v>1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.75" thickBot="1" x14ac:dyDescent="0.3">
      <c r="B31" s="5" t="s">
        <v>61</v>
      </c>
      <c r="C31" s="12"/>
      <c r="D31" s="10">
        <v>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.75" thickBot="1" x14ac:dyDescent="0.3">
      <c r="B32" s="5" t="s">
        <v>62</v>
      </c>
      <c r="C32" s="12"/>
      <c r="D32" s="10">
        <v>1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.75" thickBot="1" x14ac:dyDescent="0.3">
      <c r="B33" s="17" t="s">
        <v>63</v>
      </c>
      <c r="C33" s="12"/>
      <c r="D33" s="10">
        <v>1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x14ac:dyDescent="0.25">
      <c r="B34" s="2" t="s">
        <v>64</v>
      </c>
      <c r="C34" s="12"/>
      <c r="D34" s="10">
        <v>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x14ac:dyDescent="0.25">
      <c r="B35" s="4" t="s">
        <v>65</v>
      </c>
      <c r="C35" s="12"/>
      <c r="D35" s="10">
        <v>0.82599999999999996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x14ac:dyDescent="0.25">
      <c r="B36" s="4" t="s">
        <v>66</v>
      </c>
      <c r="C36" s="12"/>
      <c r="D36" s="10">
        <v>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x14ac:dyDescent="0.25">
      <c r="B37" s="4" t="s">
        <v>67</v>
      </c>
      <c r="C37" s="12"/>
      <c r="D37" s="10">
        <v>1.143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2:14" x14ac:dyDescent="0.25">
      <c r="B38" s="4" t="s">
        <v>68</v>
      </c>
      <c r="C38" s="12"/>
      <c r="D38" s="10">
        <v>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x14ac:dyDescent="0.25">
      <c r="B39" s="4" t="s">
        <v>69</v>
      </c>
      <c r="C39" s="12"/>
      <c r="D39" s="10">
        <v>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2:14" x14ac:dyDescent="0.25">
      <c r="B40" s="4" t="s">
        <v>70</v>
      </c>
      <c r="C40" s="12"/>
      <c r="D40" s="10">
        <v>1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2:14" x14ac:dyDescent="0.25">
      <c r="B41" s="4" t="s">
        <v>71</v>
      </c>
      <c r="C41" s="12"/>
      <c r="D41" s="10">
        <f>0.75*((1+2*Wings!C18)/(1+Wings!C18))*(Wings!C14/D48)*(TAN(Wings!C15*PI()/180))</f>
        <v>0.72199786410048283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2:14" x14ac:dyDescent="0.25">
      <c r="B42" s="4" t="s">
        <v>72</v>
      </c>
      <c r="C42" s="12"/>
      <c r="D42" s="10">
        <f>0.3*D53</f>
        <v>0.71174999999999999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2:14" x14ac:dyDescent="0.25">
      <c r="B43" s="4" t="s">
        <v>73</v>
      </c>
      <c r="C43" s="12"/>
      <c r="D43" s="10">
        <f>D53</f>
        <v>2.3725000000000001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2:14" x14ac:dyDescent="0.25">
      <c r="B44" s="4" t="s">
        <v>74</v>
      </c>
      <c r="C44" s="12"/>
      <c r="D44" s="10">
        <f>Fuselage!D14</f>
        <v>31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2:14" x14ac:dyDescent="0.25">
      <c r="B45" s="4" t="s">
        <v>75</v>
      </c>
      <c r="C45" s="12"/>
      <c r="D45" s="10">
        <f>15*5280</f>
        <v>79200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2:14" x14ac:dyDescent="0.25">
      <c r="B46" s="4" t="s">
        <v>76</v>
      </c>
      <c r="C46" s="12"/>
      <c r="D46" s="10">
        <v>15.92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2:14" x14ac:dyDescent="0.25">
      <c r="B47" s="4" t="s">
        <v>77</v>
      </c>
      <c r="C47" s="12"/>
      <c r="D47" s="10">
        <v>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2:14" x14ac:dyDescent="0.25">
      <c r="B48" s="4" t="s">
        <v>78</v>
      </c>
      <c r="C48" s="12"/>
      <c r="D48" s="10">
        <f>Fuselage!D14</f>
        <v>31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2:14" x14ac:dyDescent="0.25">
      <c r="B49" s="4" t="s">
        <v>79</v>
      </c>
      <c r="C49" s="12"/>
      <c r="D49" s="10">
        <f>5.3*12</f>
        <v>63.599999999999994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2:14" x14ac:dyDescent="0.25">
      <c r="B50" s="4" t="s">
        <v>80</v>
      </c>
      <c r="C50" s="12"/>
      <c r="D50" s="10">
        <f>5.3*12</f>
        <v>63.599999999999994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2:14" x14ac:dyDescent="0.25">
      <c r="B51" s="4" t="s">
        <v>81</v>
      </c>
      <c r="C51" s="12"/>
      <c r="D51" s="10">
        <f>D46</f>
        <v>15.92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2:14" x14ac:dyDescent="0.25">
      <c r="B52" s="4" t="s">
        <v>82</v>
      </c>
      <c r="C52" s="12"/>
      <c r="D52" s="10">
        <v>1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2:14" x14ac:dyDescent="0.25">
      <c r="B53" s="4" t="s">
        <v>83</v>
      </c>
      <c r="C53" s="12"/>
      <c r="D53" s="10">
        <f>Wings!C34-Wings!D34</f>
        <v>2.3725000000000001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2:14" x14ac:dyDescent="0.25">
      <c r="B54" s="4" t="s">
        <v>84</v>
      </c>
      <c r="C54" s="12"/>
      <c r="D54" s="10">
        <f>36-17.79</f>
        <v>18.21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2:14" x14ac:dyDescent="0.25">
      <c r="B55" s="4" t="s">
        <v>85</v>
      </c>
      <c r="C55" s="12"/>
      <c r="D55" s="10">
        <v>1.6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2:14" x14ac:dyDescent="0.25">
      <c r="B56" s="4" t="s">
        <v>86</v>
      </c>
      <c r="C56" s="12"/>
      <c r="D56" s="10">
        <v>1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x14ac:dyDescent="0.25">
      <c r="B57" s="4" t="s">
        <v>87</v>
      </c>
      <c r="C57" s="12"/>
      <c r="D57" s="10">
        <v>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2:14" x14ac:dyDescent="0.25">
      <c r="B58" s="4" t="s">
        <v>88</v>
      </c>
      <c r="C58" s="12"/>
      <c r="D58" s="10">
        <v>1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2:14" x14ac:dyDescent="0.25">
      <c r="B59" s="4" t="s">
        <v>89</v>
      </c>
      <c r="C59" s="12"/>
      <c r="D59" s="10">
        <v>4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2:14" x14ac:dyDescent="0.25">
      <c r="B60" s="4" t="s">
        <v>90</v>
      </c>
      <c r="C60" s="12"/>
      <c r="D60" s="10">
        <v>1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2:14" x14ac:dyDescent="0.25">
      <c r="B61" s="4" t="s">
        <v>91</v>
      </c>
      <c r="C61" s="12"/>
      <c r="D61" s="10">
        <v>15.69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2:14" x14ac:dyDescent="0.25">
      <c r="B62" s="4" t="s">
        <v>142</v>
      </c>
      <c r="C62" s="12"/>
      <c r="D62" s="10">
        <f>3*1.5</f>
        <v>4.5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2:14" x14ac:dyDescent="0.25">
      <c r="B63" s="4" t="s">
        <v>92</v>
      </c>
      <c r="C63" s="12"/>
      <c r="D63" s="10">
        <v>3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2:14" x14ac:dyDescent="0.25">
      <c r="B64" s="4" t="s">
        <v>93</v>
      </c>
      <c r="C64" s="12"/>
      <c r="D64" s="10">
        <v>2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2:14" x14ac:dyDescent="0.25">
      <c r="B65" s="4" t="s">
        <v>94</v>
      </c>
      <c r="C65" s="12"/>
      <c r="D65" s="10">
        <v>1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2:14" x14ac:dyDescent="0.25">
      <c r="B66" s="4" t="s">
        <v>95</v>
      </c>
      <c r="C66" s="12"/>
      <c r="D66" s="10">
        <v>1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2:14" x14ac:dyDescent="0.25">
      <c r="B67" s="4" t="s">
        <v>96</v>
      </c>
      <c r="C67" s="12"/>
      <c r="D67" s="10">
        <v>1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2:14" x14ac:dyDescent="0.25">
      <c r="B68" s="4" t="s">
        <v>97</v>
      </c>
      <c r="C68" s="12"/>
      <c r="D68" s="10">
        <v>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2:14" x14ac:dyDescent="0.25">
      <c r="B69" s="4" t="s">
        <v>98</v>
      </c>
      <c r="C69" s="12"/>
      <c r="D69" s="10">
        <v>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2:14" x14ac:dyDescent="0.25">
      <c r="B70" s="4" t="s">
        <v>99</v>
      </c>
      <c r="C70" s="12"/>
      <c r="D70" s="10">
        <v>5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2:14" x14ac:dyDescent="0.25">
      <c r="B71" s="4" t="s">
        <v>100</v>
      </c>
      <c r="C71" s="12"/>
      <c r="D71" s="10">
        <v>3.69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2:14" x14ac:dyDescent="0.25">
      <c r="B72" s="4" t="s">
        <v>101</v>
      </c>
      <c r="C72" s="12"/>
      <c r="D72" s="10">
        <f>1.5*9.5</f>
        <v>14.25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2:14" x14ac:dyDescent="0.25">
      <c r="B73" s="4" t="s">
        <v>102</v>
      </c>
      <c r="C73" s="12"/>
      <c r="D73" s="10">
        <f>208</f>
        <v>208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2:14" x14ac:dyDescent="0.25">
      <c r="B74" s="4" t="s">
        <v>103</v>
      </c>
      <c r="C74" s="12"/>
      <c r="D74" s="10">
        <v>110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2:14" x14ac:dyDescent="0.25">
      <c r="B75" s="4" t="s">
        <v>104</v>
      </c>
      <c r="C75" s="12"/>
      <c r="D75" s="10">
        <f>108+24+21.31+24+60</f>
        <v>237.31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2:14" x14ac:dyDescent="0.25">
      <c r="B76" s="4" t="s">
        <v>105</v>
      </c>
      <c r="C76" s="12"/>
      <c r="D76" s="10">
        <f>108</f>
        <v>108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2:14" x14ac:dyDescent="0.25">
      <c r="B77" s="4" t="s">
        <v>106</v>
      </c>
      <c r="C77" s="12"/>
      <c r="D77" s="10">
        <v>108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2:14" x14ac:dyDescent="0.25">
      <c r="B78" s="4" t="s">
        <v>107</v>
      </c>
      <c r="C78" s="12"/>
      <c r="D78" s="10">
        <v>730.42200000000003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2:14" x14ac:dyDescent="0.25">
      <c r="B79" s="4" t="s">
        <v>108</v>
      </c>
      <c r="C79" s="12"/>
      <c r="D79" s="10">
        <v>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2:14" x14ac:dyDescent="0.25">
      <c r="B80" s="4" t="s">
        <v>109</v>
      </c>
      <c r="C80" s="12"/>
      <c r="D80" s="10">
        <f>D77</f>
        <v>108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2:14" x14ac:dyDescent="0.25">
      <c r="B81" s="4" t="s">
        <v>110</v>
      </c>
      <c r="C81" s="12"/>
      <c r="D81" s="10">
        <v>41.515000000000001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2:14" x14ac:dyDescent="0.25">
      <c r="B82" s="4" t="s">
        <v>111</v>
      </c>
      <c r="C82" s="12"/>
      <c r="D82" s="10">
        <v>60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2:14" x14ac:dyDescent="0.25">
      <c r="B83" s="4" t="s">
        <v>112</v>
      </c>
      <c r="C83" s="12"/>
      <c r="D83" s="10">
        <v>200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2:14" x14ac:dyDescent="0.25">
      <c r="B84" s="4" t="s">
        <v>113</v>
      </c>
      <c r="C84" s="12"/>
      <c r="D84" s="10">
        <v>60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2:14" x14ac:dyDescent="0.25">
      <c r="B85" s="4" t="s">
        <v>114</v>
      </c>
      <c r="C85" s="12"/>
      <c r="D85" s="10">
        <v>300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2:14" x14ac:dyDescent="0.25">
      <c r="B86" s="4" t="s">
        <v>115</v>
      </c>
      <c r="C86" s="12"/>
      <c r="D86" s="10">
        <f>1.708</f>
        <v>1.708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2:14" x14ac:dyDescent="0.25">
      <c r="B87" s="4" t="s">
        <v>116</v>
      </c>
      <c r="C87" s="12"/>
      <c r="D87" s="10">
        <v>23770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2:14" x14ac:dyDescent="0.25">
      <c r="B88" s="4" t="s">
        <v>117</v>
      </c>
      <c r="C88" s="12"/>
      <c r="D88" s="10">
        <f>D87*D58</f>
        <v>23770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2:14" x14ac:dyDescent="0.25">
      <c r="B89" s="4" t="s">
        <v>12</v>
      </c>
      <c r="C89" s="12"/>
      <c r="D89" s="10">
        <v>0.04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2:14" x14ac:dyDescent="0.25">
      <c r="B90" s="4" t="s">
        <v>118</v>
      </c>
      <c r="C90" s="12"/>
      <c r="D90" s="10">
        <f>(6950-2300*2)*(1/6.8)</f>
        <v>345.58823529411768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2:14" x14ac:dyDescent="0.25">
      <c r="B91" s="4" t="s">
        <v>119</v>
      </c>
      <c r="C91" s="12"/>
      <c r="D91" s="10">
        <v>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2:14" x14ac:dyDescent="0.25">
      <c r="B92" s="4" t="s">
        <v>120</v>
      </c>
      <c r="C92" s="12"/>
      <c r="D92" s="10">
        <v>300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2:14" x14ac:dyDescent="0.25">
      <c r="B93" s="4" t="s">
        <v>121</v>
      </c>
      <c r="C93" s="12"/>
      <c r="D93" s="10">
        <f>6950*(1/6.8)</f>
        <v>1022.0588235294118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2:14" x14ac:dyDescent="0.25">
      <c r="B94" s="4" t="s">
        <v>122</v>
      </c>
      <c r="C94" s="12"/>
      <c r="D94" s="10">
        <f>Fuselage!D15</f>
        <v>7.5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2:14" x14ac:dyDescent="0.25">
      <c r="B95" s="4" t="s">
        <v>123</v>
      </c>
      <c r="C95" s="12"/>
      <c r="D95" s="10">
        <v>5100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2:14" x14ac:dyDescent="0.25">
      <c r="B96" s="4" t="s">
        <v>124</v>
      </c>
      <c r="C96" s="12"/>
      <c r="D96" s="10">
        <f>0.6*D90*6.8</f>
        <v>1410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x14ac:dyDescent="0.25">
      <c r="B97" s="4" t="s">
        <v>125</v>
      </c>
      <c r="C97" s="12"/>
      <c r="D97" s="10">
        <f>2.331*(4730.23)^(0.901) *D31*D36</f>
        <v>4771.0194615715218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2:14" x14ac:dyDescent="0.25">
      <c r="B98" s="4" t="s">
        <v>126</v>
      </c>
      <c r="C98" s="12"/>
      <c r="D98" s="10">
        <v>4730.2299999999996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2:14" x14ac:dyDescent="0.25">
      <c r="B99" s="4" t="s">
        <v>127</v>
      </c>
      <c r="C99" s="12"/>
      <c r="D99" s="10">
        <f>1050</f>
        <v>1050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2:14" x14ac:dyDescent="0.25">
      <c r="B100" s="4" t="s">
        <v>128</v>
      </c>
      <c r="C100" s="12"/>
      <c r="D100" s="10">
        <f>0.6688*30000</f>
        <v>20064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2:14" x14ac:dyDescent="0.25">
      <c r="B101" s="4" t="s">
        <v>129</v>
      </c>
      <c r="C101" s="12"/>
      <c r="D101" s="10">
        <f>11.9*(D92*8*12^2)^(0.271)</f>
        <v>377.13812992987448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2:14" x14ac:dyDescent="0.25">
      <c r="B102" s="4" t="s">
        <v>130</v>
      </c>
      <c r="C102" s="12"/>
      <c r="D102" s="10">
        <f>700</f>
        <v>700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2:14" ht="30" x14ac:dyDescent="0.25">
      <c r="B103" s="4" t="s">
        <v>131</v>
      </c>
      <c r="C103" s="12"/>
      <c r="D103" s="10">
        <f>Wings!C15</f>
        <v>40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2:14" ht="30.75" thickBot="1" x14ac:dyDescent="0.3">
      <c r="B104" s="5" t="s">
        <v>139</v>
      </c>
      <c r="C104" s="12"/>
      <c r="D104" s="10">
        <f>Wings!C18</f>
        <v>0.22774708410067526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2:14" ht="30.75" thickBot="1" x14ac:dyDescent="0.3">
      <c r="B105" s="5" t="s">
        <v>140</v>
      </c>
      <c r="C105" s="12"/>
      <c r="D105" s="10">
        <f>Wings!D18</f>
        <v>0.22699386503067487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2:14" ht="30.75" thickBot="1" x14ac:dyDescent="0.3">
      <c r="B106" s="5" t="s">
        <v>141</v>
      </c>
      <c r="C106" s="12"/>
      <c r="D106" s="10">
        <f>Wings!E18</f>
        <v>0.5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15.75" thickBot="1" x14ac:dyDescent="0.3">
      <c r="B107" s="5" t="s">
        <v>143</v>
      </c>
      <c r="C107" s="12"/>
      <c r="D107" s="10"/>
      <c r="E107" s="10">
        <f>((D12+D48)/2)^2 * ((D55*0.52^2)/4)</f>
        <v>100.61584000000002</v>
      </c>
      <c r="F107" s="10"/>
      <c r="G107" s="10"/>
      <c r="H107" s="10"/>
      <c r="I107" s="10"/>
      <c r="J107" s="10"/>
      <c r="K107" s="10"/>
      <c r="L107" s="10"/>
      <c r="M107" s="10"/>
      <c r="N107" s="10"/>
    </row>
  </sheetData>
  <conditionalFormatting sqref="C4:N107">
    <cfRule type="expression" dxfId="11" priority="2">
      <formula>_xlfn.ISFORMULA(C4)</formula>
    </cfRule>
    <cfRule type="containsBlanks" dxfId="10" priority="3">
      <formula>LEN(TRIM(C4))=0</formula>
    </cfRule>
  </conditionalFormatting>
  <conditionalFormatting sqref="F16:F17">
    <cfRule type="expression" dxfId="9" priority="1">
      <formula>ISNOTFORMULA(C3)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89AF-198A-4CC1-9095-07C71A58C4DB}">
  <dimension ref="D6:P31"/>
  <sheetViews>
    <sheetView workbookViewId="0">
      <selection activeCell="C14" sqref="C14"/>
    </sheetView>
  </sheetViews>
  <sheetFormatPr defaultRowHeight="15" x14ac:dyDescent="0.25"/>
  <sheetData>
    <row r="6" spans="4:16" ht="15.75" thickBot="1" x14ac:dyDescent="0.3"/>
    <row r="7" spans="4:16" ht="45.75" thickBot="1" x14ac:dyDescent="0.3">
      <c r="D7" s="1"/>
      <c r="E7" s="6" t="s">
        <v>222</v>
      </c>
      <c r="F7" s="7" t="s">
        <v>223</v>
      </c>
      <c r="G7" s="7" t="s">
        <v>224</v>
      </c>
      <c r="H7" s="7" t="s">
        <v>225</v>
      </c>
      <c r="I7" s="7"/>
      <c r="J7" s="7"/>
      <c r="K7" s="7"/>
      <c r="L7" s="7"/>
      <c r="M7" s="7"/>
      <c r="N7" s="7"/>
      <c r="O7" s="7"/>
      <c r="P7" s="8"/>
    </row>
    <row r="8" spans="4:16" x14ac:dyDescent="0.25">
      <c r="D8" s="2" t="s">
        <v>203</v>
      </c>
      <c r="E8" s="9">
        <v>0</v>
      </c>
      <c r="F8" s="9">
        <v>27.28</v>
      </c>
      <c r="G8" s="9"/>
      <c r="H8" s="9"/>
      <c r="I8" s="11"/>
      <c r="J8" s="11"/>
      <c r="K8" s="11"/>
      <c r="L8" s="11"/>
      <c r="M8" s="11"/>
      <c r="N8" s="11"/>
      <c r="O8" s="10"/>
      <c r="P8" s="10"/>
    </row>
    <row r="9" spans="4:16" x14ac:dyDescent="0.25">
      <c r="D9" s="4" t="s">
        <v>9</v>
      </c>
      <c r="E9" s="12">
        <v>3652</v>
      </c>
      <c r="F9" s="12">
        <v>26</v>
      </c>
      <c r="G9" s="12"/>
      <c r="H9" s="12"/>
      <c r="I9" s="12"/>
      <c r="J9" s="12"/>
      <c r="K9" s="12"/>
      <c r="L9" s="10"/>
      <c r="M9" s="10"/>
      <c r="N9" s="10"/>
      <c r="O9" s="10"/>
      <c r="P9" s="10"/>
    </row>
    <row r="10" spans="4:16" x14ac:dyDescent="0.25">
      <c r="D10" s="4" t="s">
        <v>204</v>
      </c>
      <c r="E10" s="12">
        <v>648</v>
      </c>
      <c r="F10" s="12">
        <v>41</v>
      </c>
      <c r="G10" s="12"/>
      <c r="H10" s="12"/>
      <c r="I10" s="12"/>
      <c r="J10" s="12"/>
      <c r="K10" s="12"/>
      <c r="L10" s="10"/>
      <c r="M10" s="10"/>
      <c r="N10" s="10"/>
      <c r="O10" s="10"/>
      <c r="P10" s="10"/>
    </row>
    <row r="11" spans="4:16" x14ac:dyDescent="0.25">
      <c r="D11" s="4" t="s">
        <v>205</v>
      </c>
      <c r="E11" s="12">
        <v>360</v>
      </c>
      <c r="F11" s="12">
        <v>40</v>
      </c>
      <c r="G11" s="12"/>
      <c r="H11" s="12"/>
      <c r="I11" s="10"/>
      <c r="J11" s="10"/>
      <c r="K11" s="10"/>
      <c r="L11" s="10"/>
      <c r="M11" s="10"/>
      <c r="N11" s="10"/>
      <c r="O11" s="10"/>
      <c r="P11" s="10"/>
    </row>
    <row r="12" spans="4:16" x14ac:dyDescent="0.25">
      <c r="D12" s="4" t="s">
        <v>206</v>
      </c>
      <c r="E12" s="12">
        <v>186</v>
      </c>
      <c r="F12" s="12">
        <v>29</v>
      </c>
      <c r="G12" s="12"/>
      <c r="H12" s="12"/>
      <c r="I12" s="10"/>
      <c r="J12" s="10"/>
      <c r="K12" s="10"/>
      <c r="L12" s="10"/>
      <c r="M12" s="10"/>
      <c r="N12" s="10"/>
      <c r="O12" s="10"/>
      <c r="P12" s="10"/>
    </row>
    <row r="13" spans="4:16" ht="15.75" thickBot="1" x14ac:dyDescent="0.3">
      <c r="D13" s="5" t="s">
        <v>18</v>
      </c>
      <c r="E13" s="12">
        <v>90</v>
      </c>
      <c r="F13" s="12">
        <v>17</v>
      </c>
      <c r="G13" s="12"/>
      <c r="H13" s="12"/>
      <c r="I13" s="10"/>
      <c r="J13" s="10"/>
      <c r="K13" s="10"/>
      <c r="L13" s="10"/>
      <c r="M13" s="10"/>
      <c r="N13" s="10"/>
      <c r="O13" s="10"/>
      <c r="P13" s="10"/>
    </row>
    <row r="14" spans="4:16" ht="15.75" thickBot="1" x14ac:dyDescent="0.3">
      <c r="D14" s="5" t="s">
        <v>207</v>
      </c>
      <c r="E14" s="12">
        <v>4730</v>
      </c>
      <c r="F14" s="12">
        <v>33</v>
      </c>
      <c r="G14" s="12"/>
      <c r="H14" s="12"/>
      <c r="I14" s="10"/>
      <c r="J14" s="10"/>
      <c r="K14" s="10"/>
      <c r="L14" s="10"/>
      <c r="M14" s="10"/>
      <c r="N14" s="10"/>
      <c r="O14" s="10"/>
      <c r="P14" s="10"/>
    </row>
    <row r="15" spans="4:16" ht="15.75" thickBot="1" x14ac:dyDescent="0.3">
      <c r="D15" s="5" t="s">
        <v>208</v>
      </c>
      <c r="E15" s="12">
        <v>1066</v>
      </c>
      <c r="F15" s="12">
        <v>26</v>
      </c>
      <c r="G15" s="12"/>
      <c r="H15" s="12"/>
      <c r="I15" s="10"/>
      <c r="J15" s="10"/>
      <c r="K15" s="10"/>
      <c r="L15" s="10"/>
      <c r="M15" s="10"/>
      <c r="N15" s="10"/>
      <c r="O15" s="10"/>
      <c r="P15" s="10"/>
    </row>
    <row r="16" spans="4:16" ht="15.75" thickBot="1" x14ac:dyDescent="0.3">
      <c r="D16" s="5" t="s">
        <v>209</v>
      </c>
      <c r="E16" s="12">
        <v>728</v>
      </c>
      <c r="F16" s="12">
        <v>22</v>
      </c>
      <c r="G16" s="12"/>
      <c r="H16" s="12"/>
      <c r="I16" s="10"/>
      <c r="J16" s="10"/>
      <c r="K16" s="10"/>
      <c r="L16" s="10"/>
      <c r="M16" s="10"/>
      <c r="N16" s="10"/>
      <c r="O16" s="10"/>
      <c r="P16" s="10"/>
    </row>
    <row r="17" spans="4:16" ht="15.75" thickBot="1" x14ac:dyDescent="0.3">
      <c r="D17" s="5" t="s">
        <v>210</v>
      </c>
      <c r="E17" s="12">
        <v>472</v>
      </c>
      <c r="F17" s="12">
        <v>27</v>
      </c>
      <c r="G17" s="12"/>
      <c r="H17" s="12"/>
      <c r="I17" s="10"/>
      <c r="J17" s="10"/>
      <c r="K17" s="10"/>
      <c r="L17" s="10"/>
      <c r="M17" s="10"/>
      <c r="N17" s="10"/>
      <c r="O17" s="10"/>
      <c r="P17" s="10"/>
    </row>
    <row r="18" spans="4:16" ht="15.75" thickBot="1" x14ac:dyDescent="0.3">
      <c r="D18" s="5" t="s">
        <v>211</v>
      </c>
      <c r="E18" s="12">
        <v>533</v>
      </c>
      <c r="F18" s="12">
        <v>33</v>
      </c>
      <c r="G18" s="12"/>
      <c r="H18" s="12"/>
      <c r="I18" s="10"/>
      <c r="J18" s="10"/>
      <c r="K18" s="10"/>
      <c r="L18" s="10"/>
      <c r="M18" s="10"/>
      <c r="N18" s="10"/>
      <c r="O18" s="10"/>
      <c r="P18" s="10"/>
    </row>
    <row r="19" spans="4:16" ht="30.75" thickBot="1" x14ac:dyDescent="0.3">
      <c r="D19" s="5" t="s">
        <v>212</v>
      </c>
      <c r="E19" s="12">
        <v>367</v>
      </c>
      <c r="F19" s="12">
        <v>33</v>
      </c>
      <c r="G19" s="12"/>
      <c r="H19" s="12"/>
      <c r="I19" s="10"/>
      <c r="J19" s="10"/>
      <c r="K19" s="10"/>
      <c r="L19" s="10"/>
      <c r="M19" s="10"/>
      <c r="N19" s="10"/>
      <c r="O19" s="10"/>
      <c r="P19" s="10"/>
    </row>
    <row r="20" spans="4:16" ht="15.75" thickBot="1" x14ac:dyDescent="0.3">
      <c r="D20" s="5" t="s">
        <v>213</v>
      </c>
      <c r="E20" s="12">
        <v>360</v>
      </c>
      <c r="F20" s="12">
        <v>27</v>
      </c>
      <c r="G20" s="12"/>
      <c r="H20" s="12"/>
      <c r="I20" s="10"/>
      <c r="J20" s="10"/>
      <c r="K20" s="10"/>
      <c r="L20" s="10"/>
      <c r="M20" s="10"/>
      <c r="N20" s="10"/>
      <c r="O20" s="10"/>
      <c r="P20" s="10"/>
    </row>
    <row r="21" spans="4:16" ht="15.75" thickBot="1" x14ac:dyDescent="0.3">
      <c r="D21" s="5" t="s">
        <v>214</v>
      </c>
      <c r="E21" s="12">
        <v>2016</v>
      </c>
      <c r="F21" s="12">
        <v>20</v>
      </c>
      <c r="G21" s="12"/>
      <c r="H21" s="12"/>
      <c r="I21" s="10"/>
      <c r="J21" s="10"/>
      <c r="K21" s="10"/>
      <c r="L21" s="10"/>
      <c r="M21" s="10"/>
      <c r="N21" s="10"/>
      <c r="O21" s="10"/>
      <c r="P21" s="10"/>
    </row>
    <row r="22" spans="4:16" ht="15.75" thickBot="1" x14ac:dyDescent="0.3">
      <c r="D22" s="5" t="s">
        <v>215</v>
      </c>
      <c r="E22" s="12">
        <v>2541</v>
      </c>
      <c r="F22" s="12">
        <v>15</v>
      </c>
      <c r="G22" s="12"/>
      <c r="H22" s="12"/>
      <c r="I22" s="10"/>
      <c r="J22" s="10"/>
      <c r="K22" s="10"/>
      <c r="L22" s="10"/>
      <c r="M22" s="10"/>
      <c r="N22" s="10"/>
      <c r="O22" s="10"/>
      <c r="P22" s="10"/>
    </row>
    <row r="23" spans="4:16" ht="30.75" thickBot="1" x14ac:dyDescent="0.3">
      <c r="D23" s="5" t="s">
        <v>230</v>
      </c>
      <c r="E23" s="12">
        <v>440</v>
      </c>
      <c r="F23" s="12">
        <v>26</v>
      </c>
      <c r="G23" s="12"/>
      <c r="H23" s="12"/>
      <c r="I23" s="10"/>
      <c r="J23" s="10"/>
      <c r="K23" s="10"/>
      <c r="L23" s="10"/>
      <c r="M23" s="10"/>
      <c r="N23" s="10"/>
      <c r="O23" s="10"/>
      <c r="P23" s="10"/>
    </row>
    <row r="24" spans="4:16" ht="30.75" thickBot="1" x14ac:dyDescent="0.3">
      <c r="D24" s="5" t="s">
        <v>216</v>
      </c>
      <c r="E24" s="12">
        <v>700</v>
      </c>
      <c r="F24" s="12">
        <v>16</v>
      </c>
      <c r="G24" s="12"/>
      <c r="H24" s="12"/>
      <c r="I24" s="10"/>
      <c r="J24" s="10"/>
      <c r="K24" s="10"/>
      <c r="L24" s="10"/>
      <c r="M24" s="10"/>
      <c r="N24" s="10"/>
      <c r="O24" s="10"/>
      <c r="P24" s="10"/>
    </row>
    <row r="25" spans="4:16" ht="45.75" thickBot="1" x14ac:dyDescent="0.3">
      <c r="D25" s="5" t="s">
        <v>217</v>
      </c>
      <c r="E25" s="12">
        <v>2200</v>
      </c>
      <c r="F25" s="10">
        <v>26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4:16" ht="45.75" thickBot="1" x14ac:dyDescent="0.3">
      <c r="D26" s="5" t="s">
        <v>218</v>
      </c>
      <c r="E26" s="12">
        <v>2200</v>
      </c>
      <c r="F26" s="10">
        <v>26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4:16" ht="15.75" thickBot="1" x14ac:dyDescent="0.3">
      <c r="D27" s="5" t="s">
        <v>219</v>
      </c>
      <c r="E27" s="12">
        <v>2098</v>
      </c>
      <c r="F27" s="10">
        <v>24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4:16" ht="15.75" thickBot="1" x14ac:dyDescent="0.3">
      <c r="D28" s="5" t="s">
        <v>220</v>
      </c>
      <c r="E28" s="12">
        <v>2098</v>
      </c>
      <c r="F28" s="10">
        <v>26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4:16" ht="15.75" thickBot="1" x14ac:dyDescent="0.3">
      <c r="D29" s="5" t="s">
        <v>221</v>
      </c>
      <c r="E29" s="12">
        <v>2098</v>
      </c>
      <c r="F29" s="10">
        <v>28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4:16" ht="15.75" thickBot="1" x14ac:dyDescent="0.3">
      <c r="D30" s="5"/>
      <c r="E30" s="12"/>
      <c r="F30" s="21" t="s">
        <v>231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4:16" ht="15.75" thickBot="1" x14ac:dyDescent="0.3">
      <c r="D31" s="5"/>
      <c r="E31" s="12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</sheetData>
  <conditionalFormatting sqref="E8:P31">
    <cfRule type="expression" dxfId="8" priority="2">
      <formula>_xlfn.ISFORMULA(E8)</formula>
    </cfRule>
    <cfRule type="containsBlanks" dxfId="7" priority="3">
      <formula>LEN(TRIM(E8))=0</formula>
    </cfRule>
  </conditionalFormatting>
  <conditionalFormatting sqref="H17">
    <cfRule type="expression" dxfId="6" priority="1">
      <formula>ISNOTFORMULA(E8)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F542-1B93-43EB-9BE7-8E21B1D3B06C}">
  <dimension ref="D5:P34"/>
  <sheetViews>
    <sheetView topLeftCell="A8" workbookViewId="0">
      <selection activeCell="G14" sqref="G14"/>
    </sheetView>
  </sheetViews>
  <sheetFormatPr defaultRowHeight="15" x14ac:dyDescent="0.25"/>
  <sheetData>
    <row r="5" spans="4:16" x14ac:dyDescent="0.25">
      <c r="F5" s="14"/>
    </row>
    <row r="6" spans="4:16" x14ac:dyDescent="0.25">
      <c r="F6" s="15"/>
    </row>
    <row r="7" spans="4:16" ht="31.5" x14ac:dyDescent="0.5">
      <c r="D7" s="18"/>
      <c r="F7" s="3"/>
    </row>
    <row r="8" spans="4:16" x14ac:dyDescent="0.25">
      <c r="F8" s="16"/>
    </row>
    <row r="9" spans="4:16" ht="15.75" thickBot="1" x14ac:dyDescent="0.3"/>
    <row r="10" spans="4:16" ht="30.75" thickBot="1" x14ac:dyDescent="0.3">
      <c r="D10" s="1"/>
      <c r="E10" s="6" t="s">
        <v>153</v>
      </c>
      <c r="F10" s="7" t="s">
        <v>157</v>
      </c>
      <c r="G10" s="7" t="s">
        <v>171</v>
      </c>
      <c r="H10" s="7" t="s">
        <v>172</v>
      </c>
      <c r="I10" s="7"/>
      <c r="J10" s="7"/>
      <c r="K10" s="7"/>
      <c r="L10" s="7"/>
      <c r="M10" s="7"/>
      <c r="N10" s="7"/>
      <c r="O10" s="7"/>
      <c r="P10" s="8"/>
    </row>
    <row r="11" spans="4:16" ht="30" x14ac:dyDescent="0.25">
      <c r="D11" s="2" t="s">
        <v>155</v>
      </c>
      <c r="E11" s="9" t="s">
        <v>154</v>
      </c>
      <c r="F11" s="9" t="s">
        <v>156</v>
      </c>
      <c r="G11" s="9">
        <v>0.1</v>
      </c>
      <c r="H11" s="9">
        <v>8.9999999999999993E-3</v>
      </c>
      <c r="I11" s="11"/>
      <c r="J11" s="11"/>
      <c r="K11" s="11"/>
      <c r="L11" s="11"/>
      <c r="M11" s="11"/>
      <c r="N11" s="11"/>
      <c r="O11" s="10"/>
      <c r="P11" s="10"/>
    </row>
    <row r="12" spans="4:16" ht="45" x14ac:dyDescent="0.25">
      <c r="D12" s="4" t="s">
        <v>170</v>
      </c>
      <c r="E12" s="12" t="s">
        <v>160</v>
      </c>
      <c r="F12" s="12"/>
      <c r="G12" s="12"/>
      <c r="H12" s="12"/>
      <c r="I12" s="12"/>
      <c r="J12" s="12"/>
      <c r="K12" s="12"/>
      <c r="L12" s="10"/>
      <c r="M12" s="10"/>
      <c r="N12" s="10"/>
      <c r="O12" s="10"/>
      <c r="P12" s="10"/>
    </row>
    <row r="13" spans="4:16" ht="30" x14ac:dyDescent="0.25">
      <c r="D13" s="4" t="s">
        <v>158</v>
      </c>
      <c r="E13" s="12" t="s">
        <v>154</v>
      </c>
      <c r="F13" s="12"/>
      <c r="G13" s="12">
        <v>0.2</v>
      </c>
      <c r="H13" s="12">
        <v>1.9E-2</v>
      </c>
      <c r="I13" s="12"/>
      <c r="J13" s="12"/>
      <c r="K13" s="12"/>
      <c r="L13" s="10"/>
      <c r="M13" s="10"/>
      <c r="N13" s="10"/>
      <c r="O13" s="10"/>
      <c r="P13" s="10"/>
    </row>
    <row r="14" spans="4:16" ht="45" x14ac:dyDescent="0.25">
      <c r="D14" s="4" t="s">
        <v>173</v>
      </c>
      <c r="E14" s="12" t="s">
        <v>160</v>
      </c>
      <c r="F14" s="12"/>
      <c r="G14" s="12"/>
      <c r="H14" s="12"/>
      <c r="I14" s="10"/>
      <c r="J14" s="10"/>
      <c r="K14" s="10"/>
      <c r="L14" s="10"/>
      <c r="M14" s="10"/>
      <c r="N14" s="10"/>
      <c r="O14" s="10"/>
      <c r="P14" s="10"/>
    </row>
    <row r="15" spans="4:16" ht="45" x14ac:dyDescent="0.25">
      <c r="D15" s="4" t="s">
        <v>168</v>
      </c>
      <c r="E15" s="12" t="s">
        <v>160</v>
      </c>
      <c r="F15" s="12"/>
      <c r="G15" s="12"/>
      <c r="H15" s="12"/>
      <c r="I15" s="10"/>
      <c r="J15" s="10"/>
      <c r="K15" s="10"/>
      <c r="L15" s="10"/>
      <c r="M15" s="10"/>
      <c r="N15" s="10"/>
      <c r="O15" s="10"/>
      <c r="P15" s="10"/>
    </row>
    <row r="16" spans="4:16" ht="60.75" thickBot="1" x14ac:dyDescent="0.3">
      <c r="D16" s="5" t="s">
        <v>169</v>
      </c>
      <c r="E16" s="12" t="s">
        <v>160</v>
      </c>
      <c r="F16" s="12"/>
      <c r="G16" s="12"/>
      <c r="H16" s="12"/>
      <c r="I16" s="10"/>
      <c r="J16" s="10"/>
      <c r="K16" s="10"/>
      <c r="L16" s="10"/>
      <c r="M16" s="10"/>
      <c r="N16" s="10"/>
      <c r="O16" s="10"/>
      <c r="P16" s="10"/>
    </row>
    <row r="17" spans="4:16" ht="15.75" thickBot="1" x14ac:dyDescent="0.3">
      <c r="D17" s="5"/>
      <c r="E17" s="12"/>
      <c r="F17" s="12"/>
      <c r="G17" s="12"/>
      <c r="H17" s="12"/>
      <c r="I17" s="10"/>
      <c r="J17" s="10"/>
      <c r="K17" s="10"/>
      <c r="L17" s="10"/>
      <c r="M17" s="10"/>
      <c r="N17" s="10"/>
      <c r="O17" s="10"/>
      <c r="P17" s="10"/>
    </row>
    <row r="18" spans="4:16" ht="15.75" thickBot="1" x14ac:dyDescent="0.3">
      <c r="D18" s="5"/>
      <c r="E18" s="12"/>
      <c r="F18" s="12"/>
      <c r="G18" s="12"/>
      <c r="H18" s="12"/>
      <c r="I18" s="10"/>
      <c r="J18" s="10"/>
      <c r="K18" s="10"/>
      <c r="L18" s="10"/>
      <c r="M18" s="10"/>
      <c r="N18" s="10"/>
      <c r="O18" s="10"/>
      <c r="P18" s="10"/>
    </row>
    <row r="19" spans="4:16" ht="15.75" thickBot="1" x14ac:dyDescent="0.3">
      <c r="D19" s="5"/>
      <c r="E19" s="12"/>
      <c r="F19" s="12"/>
      <c r="G19" s="12"/>
      <c r="H19" s="12"/>
      <c r="I19" s="10"/>
      <c r="J19" s="10"/>
      <c r="K19" s="10"/>
      <c r="L19" s="10"/>
      <c r="M19" s="10"/>
      <c r="N19" s="10"/>
      <c r="O19" s="10"/>
      <c r="P19" s="10"/>
    </row>
    <row r="20" spans="4:16" ht="15.75" thickBot="1" x14ac:dyDescent="0.3">
      <c r="D20" s="5"/>
      <c r="E20" s="12"/>
      <c r="F20" s="12"/>
      <c r="G20" s="12"/>
      <c r="H20" s="12"/>
      <c r="I20" s="10"/>
      <c r="J20" s="10"/>
      <c r="K20" s="10"/>
      <c r="L20" s="10"/>
      <c r="M20" s="10"/>
      <c r="N20" s="10"/>
      <c r="O20" s="10"/>
      <c r="P20" s="10"/>
    </row>
    <row r="21" spans="4:16" ht="15.75" thickBot="1" x14ac:dyDescent="0.3">
      <c r="D21" s="5"/>
      <c r="E21" s="12"/>
      <c r="F21" s="12"/>
      <c r="G21" s="12"/>
      <c r="H21" s="12"/>
      <c r="I21" s="10"/>
      <c r="J21" s="10"/>
      <c r="K21" s="10"/>
      <c r="L21" s="10"/>
      <c r="M21" s="10"/>
      <c r="N21" s="10"/>
      <c r="O21" s="10"/>
      <c r="P21" s="10"/>
    </row>
    <row r="22" spans="4:16" ht="15.75" thickBot="1" x14ac:dyDescent="0.3">
      <c r="D22" s="5"/>
      <c r="E22" s="12"/>
      <c r="F22" s="12"/>
      <c r="G22" s="12"/>
      <c r="H22" s="12"/>
      <c r="I22" s="10"/>
      <c r="J22" s="10"/>
      <c r="K22" s="10"/>
      <c r="L22" s="10"/>
      <c r="M22" s="10"/>
      <c r="N22" s="10"/>
      <c r="O22" s="10"/>
      <c r="P22" s="10"/>
    </row>
    <row r="23" spans="4:16" ht="15.75" thickBot="1" x14ac:dyDescent="0.3">
      <c r="D23" s="5"/>
      <c r="E23" s="12"/>
      <c r="F23" s="12"/>
      <c r="G23" s="12"/>
      <c r="H23" s="12"/>
      <c r="I23" s="10"/>
      <c r="J23" s="10"/>
      <c r="K23" s="10"/>
      <c r="L23" s="10"/>
      <c r="M23" s="10"/>
      <c r="N23" s="10"/>
      <c r="O23" s="10"/>
      <c r="P23" s="10"/>
    </row>
    <row r="24" spans="4:16" ht="15.75" thickBot="1" x14ac:dyDescent="0.3">
      <c r="D24" s="5"/>
      <c r="E24" s="12"/>
      <c r="F24" s="12"/>
      <c r="G24" s="12"/>
      <c r="H24" s="12"/>
      <c r="I24" s="10"/>
      <c r="J24" s="10"/>
      <c r="K24" s="10"/>
      <c r="L24" s="10"/>
      <c r="M24" s="10"/>
      <c r="N24" s="10"/>
      <c r="O24" s="10"/>
      <c r="P24" s="10"/>
    </row>
    <row r="25" spans="4:16" ht="15.75" thickBot="1" x14ac:dyDescent="0.3">
      <c r="D25" s="5"/>
      <c r="E25" s="12"/>
      <c r="F25" s="12"/>
      <c r="G25" s="12"/>
      <c r="H25" s="12"/>
      <c r="I25" s="10"/>
      <c r="J25" s="10"/>
      <c r="K25" s="10"/>
      <c r="L25" s="10"/>
      <c r="M25" s="10"/>
      <c r="N25" s="10"/>
      <c r="O25" s="10"/>
      <c r="P25" s="10"/>
    </row>
    <row r="26" spans="4:16" ht="15.75" thickBot="1" x14ac:dyDescent="0.3">
      <c r="D26" s="5"/>
      <c r="E26" s="12"/>
      <c r="F26" s="12"/>
      <c r="G26" s="12"/>
      <c r="H26" s="12"/>
      <c r="I26" s="10"/>
      <c r="J26" s="10"/>
      <c r="K26" s="10"/>
      <c r="L26" s="10"/>
      <c r="M26" s="10"/>
      <c r="N26" s="10"/>
      <c r="O26" s="10"/>
      <c r="P26" s="10"/>
    </row>
    <row r="27" spans="4:16" ht="15.75" thickBot="1" x14ac:dyDescent="0.3">
      <c r="D27" s="5"/>
      <c r="E27" s="12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4:16" ht="15.75" thickBot="1" x14ac:dyDescent="0.3">
      <c r="D28" s="5"/>
      <c r="E28" s="12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4:16" ht="15.75" thickBot="1" x14ac:dyDescent="0.3">
      <c r="D29" s="5"/>
      <c r="E29" s="12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4:16" ht="15.75" thickBot="1" x14ac:dyDescent="0.3">
      <c r="D30" s="5"/>
      <c r="E30" s="12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4:16" ht="15.75" thickBot="1" x14ac:dyDescent="0.3">
      <c r="D31" s="5"/>
      <c r="E31" s="12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4:16" ht="15.75" thickBot="1" x14ac:dyDescent="0.3">
      <c r="D32" s="5"/>
      <c r="E32" s="12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4:16" ht="15.75" thickBot="1" x14ac:dyDescent="0.3">
      <c r="D33" s="5"/>
      <c r="E33" s="12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4:16" ht="15.75" thickBot="1" x14ac:dyDescent="0.3">
      <c r="D34" s="5"/>
      <c r="E34" s="12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</sheetData>
  <conditionalFormatting sqref="E11:P34">
    <cfRule type="expression" dxfId="5" priority="2">
      <formula>_xlfn.ISFORMULA(E11)</formula>
    </cfRule>
    <cfRule type="containsBlanks" dxfId="4" priority="3">
      <formula>LEN(TRIM(E11))=0</formula>
    </cfRule>
  </conditionalFormatting>
  <conditionalFormatting sqref="H20">
    <cfRule type="expression" dxfId="3" priority="1">
      <formula>ISNOTFORMULA(E11)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CA18-31EA-4ECA-BF44-35433BB56EEA}">
  <dimension ref="C5:O30"/>
  <sheetViews>
    <sheetView workbookViewId="0">
      <selection activeCell="E12" sqref="E12"/>
    </sheetView>
  </sheetViews>
  <sheetFormatPr defaultRowHeight="15" x14ac:dyDescent="0.25"/>
  <cols>
    <col min="4" max="4" width="9.85546875" bestFit="1" customWidth="1"/>
    <col min="5" max="5" width="10.85546875" bestFit="1" customWidth="1"/>
  </cols>
  <sheetData>
    <row r="5" spans="3:15" ht="15.75" thickBot="1" x14ac:dyDescent="0.3"/>
    <row r="6" spans="3:15" ht="15.75" thickBot="1" x14ac:dyDescent="0.3">
      <c r="C6" s="1"/>
      <c r="D6" s="6" t="s">
        <v>162</v>
      </c>
      <c r="E6" s="7" t="s">
        <v>161</v>
      </c>
      <c r="F6" s="7"/>
      <c r="G6" s="7"/>
      <c r="H6" s="7"/>
      <c r="I6" s="7"/>
      <c r="J6" s="7"/>
      <c r="K6" s="7"/>
      <c r="L6" s="7"/>
      <c r="M6" s="7"/>
      <c r="N6" s="7"/>
      <c r="O6" s="8"/>
    </row>
    <row r="7" spans="3:15" ht="60" x14ac:dyDescent="0.25">
      <c r="C7" s="2" t="s">
        <v>163</v>
      </c>
      <c r="D7" s="9">
        <f>3.33*10^(-5)</f>
        <v>3.3300000000000003E-5</v>
      </c>
      <c r="E7" s="9">
        <f>1.015*10^(-5)</f>
        <v>1.0149999999999999E-5</v>
      </c>
      <c r="F7" s="9"/>
      <c r="G7" s="9"/>
      <c r="H7" s="11"/>
      <c r="I7" s="11"/>
      <c r="J7" s="11"/>
      <c r="K7" s="11"/>
      <c r="L7" s="11"/>
      <c r="M7" s="11"/>
      <c r="N7" s="10"/>
      <c r="O7" s="10"/>
    </row>
    <row r="8" spans="3:15" ht="30" x14ac:dyDescent="0.25">
      <c r="C8" s="4" t="s">
        <v>164</v>
      </c>
      <c r="D8" s="12">
        <f>2.08*10^(-5)</f>
        <v>2.0800000000000001E-5</v>
      </c>
      <c r="E8" s="12">
        <f>0.634*10^(-5)</f>
        <v>6.3400000000000003E-6</v>
      </c>
      <c r="F8" s="12"/>
      <c r="G8" s="12"/>
      <c r="H8" s="12"/>
      <c r="I8" s="12"/>
      <c r="J8" s="12"/>
      <c r="K8" s="10"/>
      <c r="L8" s="10"/>
      <c r="M8" s="10"/>
      <c r="N8" s="10"/>
      <c r="O8" s="10"/>
    </row>
    <row r="9" spans="3:15" ht="45" x14ac:dyDescent="0.25">
      <c r="C9" s="4" t="s">
        <v>165</v>
      </c>
      <c r="D9" s="12">
        <f>1.33*10^(-5)</f>
        <v>1.3300000000000001E-5</v>
      </c>
      <c r="E9" s="12">
        <f>0.405*10^(-5)</f>
        <v>4.0500000000000002E-6</v>
      </c>
      <c r="F9" s="12"/>
      <c r="G9" s="12"/>
      <c r="H9" s="12"/>
      <c r="I9" s="12"/>
      <c r="J9" s="12"/>
      <c r="K9" s="10"/>
      <c r="L9" s="10"/>
      <c r="M9" s="10"/>
      <c r="N9" s="10"/>
      <c r="O9" s="10"/>
    </row>
    <row r="10" spans="3:15" ht="45" x14ac:dyDescent="0.25">
      <c r="C10" s="4" t="s">
        <v>166</v>
      </c>
      <c r="D10" s="12">
        <f>0.5*10^(-5)</f>
        <v>5.0000000000000004E-6</v>
      </c>
      <c r="E10" s="12">
        <f>0.152*10^(-5)</f>
        <v>1.5200000000000001E-6</v>
      </c>
      <c r="F10" s="12"/>
      <c r="G10" s="12"/>
      <c r="H10" s="10"/>
      <c r="I10" s="10"/>
      <c r="J10" s="10"/>
      <c r="K10" s="10"/>
      <c r="L10" s="10"/>
      <c r="M10" s="10"/>
      <c r="N10" s="10"/>
      <c r="O10" s="10"/>
    </row>
    <row r="11" spans="3:15" ht="60" x14ac:dyDescent="0.25">
      <c r="C11" s="4" t="s">
        <v>167</v>
      </c>
      <c r="D11" s="12">
        <f>0.7*10^(-5)</f>
        <v>6.9999999999999999E-6</v>
      </c>
      <c r="E11" s="12">
        <f>0.052*10^(-5)</f>
        <v>5.2E-7</v>
      </c>
      <c r="F11" s="12"/>
      <c r="G11" s="12"/>
      <c r="H11" s="10"/>
      <c r="I11" s="10"/>
      <c r="J11" s="10"/>
      <c r="K11" s="10"/>
      <c r="L11" s="10"/>
      <c r="M11" s="10"/>
      <c r="N11" s="10"/>
      <c r="O11" s="10"/>
    </row>
    <row r="12" spans="3:15" ht="15.75" thickBot="1" x14ac:dyDescent="0.3">
      <c r="C12" s="5"/>
      <c r="D12" s="12"/>
      <c r="E12" s="12"/>
      <c r="F12" s="12"/>
      <c r="G12" s="12"/>
      <c r="H12" s="10"/>
      <c r="I12" s="10"/>
      <c r="J12" s="10"/>
      <c r="K12" s="10"/>
      <c r="L12" s="10"/>
      <c r="M12" s="10"/>
      <c r="N12" s="10"/>
      <c r="O12" s="10"/>
    </row>
    <row r="13" spans="3:15" ht="15.75" thickBot="1" x14ac:dyDescent="0.3">
      <c r="C13" s="5"/>
      <c r="D13" s="12"/>
      <c r="E13" s="12"/>
      <c r="F13" s="12"/>
      <c r="G13" s="12"/>
      <c r="H13" s="10"/>
      <c r="I13" s="10"/>
      <c r="J13" s="10"/>
      <c r="K13" s="10"/>
      <c r="L13" s="10"/>
      <c r="M13" s="10"/>
      <c r="N13" s="10"/>
      <c r="O13" s="10"/>
    </row>
    <row r="14" spans="3:15" ht="15.75" thickBot="1" x14ac:dyDescent="0.3">
      <c r="C14" s="5"/>
      <c r="D14" s="12"/>
      <c r="E14" s="12"/>
      <c r="F14" s="12"/>
      <c r="G14" s="12"/>
      <c r="H14" s="10"/>
      <c r="I14" s="10"/>
      <c r="J14" s="10"/>
      <c r="K14" s="10"/>
      <c r="L14" s="10"/>
      <c r="M14" s="10"/>
      <c r="N14" s="10"/>
      <c r="O14" s="10"/>
    </row>
    <row r="15" spans="3:15" ht="15.75" thickBot="1" x14ac:dyDescent="0.3">
      <c r="C15" s="5"/>
      <c r="D15" s="12"/>
      <c r="E15" s="12"/>
      <c r="F15" s="12"/>
      <c r="G15" s="12"/>
      <c r="H15" s="10"/>
      <c r="I15" s="10"/>
      <c r="J15" s="10"/>
      <c r="K15" s="10"/>
      <c r="L15" s="10"/>
      <c r="M15" s="10"/>
      <c r="N15" s="10"/>
      <c r="O15" s="10"/>
    </row>
    <row r="16" spans="3:15" ht="15.75" thickBot="1" x14ac:dyDescent="0.3">
      <c r="C16" s="5"/>
      <c r="D16" s="12"/>
      <c r="E16" s="12"/>
      <c r="F16" s="12"/>
      <c r="G16" s="12"/>
      <c r="H16" s="10"/>
      <c r="I16" s="10"/>
      <c r="J16" s="10"/>
      <c r="K16" s="10"/>
      <c r="L16" s="10"/>
      <c r="M16" s="10"/>
      <c r="N16" s="10"/>
      <c r="O16" s="10"/>
    </row>
    <row r="17" spans="3:15" ht="15.75" thickBot="1" x14ac:dyDescent="0.3">
      <c r="C17" s="5"/>
      <c r="D17" s="12"/>
      <c r="E17" s="12"/>
      <c r="F17" s="12"/>
      <c r="G17" s="12"/>
      <c r="H17" s="10"/>
      <c r="I17" s="10"/>
      <c r="J17" s="10"/>
      <c r="K17" s="10"/>
      <c r="L17" s="10"/>
      <c r="M17" s="10"/>
      <c r="N17" s="10"/>
      <c r="O17" s="10"/>
    </row>
    <row r="18" spans="3:15" ht="15.75" thickBot="1" x14ac:dyDescent="0.3">
      <c r="C18" s="5"/>
      <c r="D18" s="12"/>
      <c r="E18" s="12"/>
      <c r="F18" s="12"/>
      <c r="G18" s="12"/>
      <c r="H18" s="10"/>
      <c r="I18" s="10"/>
      <c r="J18" s="10"/>
      <c r="K18" s="10"/>
      <c r="L18" s="10"/>
      <c r="M18" s="10"/>
      <c r="N18" s="10"/>
      <c r="O18" s="10"/>
    </row>
    <row r="19" spans="3:15" ht="15.75" thickBot="1" x14ac:dyDescent="0.3">
      <c r="C19" s="5"/>
      <c r="D19" s="12"/>
      <c r="E19" s="12"/>
      <c r="F19" s="12"/>
      <c r="G19" s="12"/>
      <c r="H19" s="10"/>
      <c r="I19" s="10"/>
      <c r="J19" s="10"/>
      <c r="K19" s="10"/>
      <c r="L19" s="10"/>
      <c r="M19" s="10"/>
      <c r="N19" s="10"/>
      <c r="O19" s="10"/>
    </row>
    <row r="20" spans="3:15" ht="15.75" thickBot="1" x14ac:dyDescent="0.3">
      <c r="C20" s="5"/>
      <c r="D20" s="12"/>
      <c r="E20" s="12"/>
      <c r="F20" s="12"/>
      <c r="G20" s="12"/>
      <c r="H20" s="10"/>
      <c r="I20" s="10"/>
      <c r="J20" s="10"/>
      <c r="K20" s="10"/>
      <c r="L20" s="10"/>
      <c r="M20" s="10"/>
      <c r="N20" s="10"/>
      <c r="O20" s="10"/>
    </row>
    <row r="21" spans="3:15" ht="15.75" thickBot="1" x14ac:dyDescent="0.3">
      <c r="C21" s="5"/>
      <c r="D21" s="12"/>
      <c r="E21" s="12"/>
      <c r="F21" s="12"/>
      <c r="G21" s="12"/>
      <c r="H21" s="10"/>
      <c r="I21" s="10"/>
      <c r="J21" s="10"/>
      <c r="K21" s="10"/>
      <c r="L21" s="10"/>
      <c r="M21" s="10"/>
      <c r="N21" s="10"/>
      <c r="O21" s="10"/>
    </row>
    <row r="22" spans="3:15" ht="15.75" thickBot="1" x14ac:dyDescent="0.3">
      <c r="C22" s="5"/>
      <c r="D22" s="12"/>
      <c r="E22" s="12"/>
      <c r="F22" s="12"/>
      <c r="G22" s="12"/>
      <c r="H22" s="10"/>
      <c r="I22" s="10"/>
      <c r="J22" s="10"/>
      <c r="K22" s="10"/>
      <c r="L22" s="10"/>
      <c r="M22" s="10"/>
      <c r="N22" s="10"/>
      <c r="O22" s="10"/>
    </row>
    <row r="23" spans="3:15" ht="15.75" thickBot="1" x14ac:dyDescent="0.3">
      <c r="C23" s="5"/>
      <c r="D23" s="1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3:15" ht="15.75" thickBot="1" x14ac:dyDescent="0.3">
      <c r="C24" s="5"/>
      <c r="D24" s="12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3:15" ht="15.75" thickBot="1" x14ac:dyDescent="0.3">
      <c r="C25" s="5"/>
      <c r="D25" s="1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3:15" ht="15.75" thickBot="1" x14ac:dyDescent="0.3">
      <c r="C26" s="5"/>
      <c r="D26" s="12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3:15" ht="15.75" thickBot="1" x14ac:dyDescent="0.3">
      <c r="C27" s="5"/>
      <c r="D27" s="12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3:15" ht="15.75" thickBot="1" x14ac:dyDescent="0.3">
      <c r="C28" s="5"/>
      <c r="D28" s="12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3:15" ht="15.75" thickBot="1" x14ac:dyDescent="0.3">
      <c r="C29" s="5"/>
      <c r="D29" s="1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3:15" ht="15.75" thickBot="1" x14ac:dyDescent="0.3">
      <c r="C30" s="5"/>
      <c r="D30" s="12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</sheetData>
  <conditionalFormatting sqref="D7:O30">
    <cfRule type="expression" dxfId="2" priority="2">
      <formula>_xlfn.ISFORMULA(D7)</formula>
    </cfRule>
    <cfRule type="containsBlanks" dxfId="1" priority="3">
      <formula>LEN(TRIM(D7))=0</formula>
    </cfRule>
  </conditionalFormatting>
  <conditionalFormatting sqref="G16">
    <cfRule type="expression" dxfId="0" priority="1">
      <formula>ISNOTFORMULA(D7)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FORMAT</vt:lpstr>
      <vt:lpstr>General</vt:lpstr>
      <vt:lpstr>Wings</vt:lpstr>
      <vt:lpstr>Fuselage</vt:lpstr>
      <vt:lpstr>Propulsion</vt:lpstr>
      <vt:lpstr>Weights</vt:lpstr>
      <vt:lpstr>Stability&amp;Control</vt:lpstr>
      <vt:lpstr>Protuberances</vt:lpstr>
      <vt:lpstr>Skin roughness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2026-03-03T14:01:29Z</dcterms:created>
  <dcterms:modified xsi:type="dcterms:W3CDTF">2026-05-07T14:21:52Z</dcterms:modified>
</cp:coreProperties>
</file>