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code\air-vehicle-design\examples\F-16A B Block 10 and 15\Operator\"/>
    </mc:Choice>
  </mc:AlternateContent>
  <xr:revisionPtr revIDLastSave="0" documentId="13_ncr:1_{5456C962-E49E-494B-A44C-97BF8605C357}" xr6:coauthVersionLast="47" xr6:coauthVersionMax="47" xr10:uidLastSave="{00000000-0000-0000-0000-000000000000}"/>
  <bookViews>
    <workbookView xWindow="22668" yWindow="1488" windowWidth="21600" windowHeight="11508" activeTab="1" xr2:uid="{5FD27DBB-5210-421F-BEEA-403866C08751}"/>
  </bookViews>
  <sheets>
    <sheet name="Sheet1" sheetId="2" r:id="rId1"/>
    <sheet name="C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/>
  <c r="D9" i="1"/>
  <c r="E9" i="1"/>
  <c r="I11" i="1" l="1"/>
  <c r="K11" i="1" s="1"/>
  <c r="H11" i="1"/>
  <c r="M9" i="1"/>
  <c r="K9" i="1"/>
  <c r="J9" i="1"/>
  <c r="I9" i="1"/>
  <c r="H9" i="1"/>
  <c r="F6" i="1"/>
  <c r="J6" i="1"/>
  <c r="L6" i="1"/>
  <c r="M6" i="1"/>
</calcChain>
</file>

<file path=xl/sharedStrings.xml><?xml version="1.0" encoding="utf-8"?>
<sst xmlns="http://schemas.openxmlformats.org/spreadsheetml/2006/main" count="35" uniqueCount="26">
  <si>
    <t>Startup</t>
  </si>
  <si>
    <t>Taxi</t>
  </si>
  <si>
    <t>Takeoff</t>
  </si>
  <si>
    <t>Climb</t>
  </si>
  <si>
    <t>Dash</t>
  </si>
  <si>
    <t>Combat</t>
  </si>
  <si>
    <t>Landing</t>
  </si>
  <si>
    <t>Mach number</t>
  </si>
  <si>
    <t>Turns</t>
  </si>
  <si>
    <t>Altitude (ft)</t>
  </si>
  <si>
    <t>N/A</t>
  </si>
  <si>
    <t>Segment name</t>
  </si>
  <si>
    <t>THIS IS FOR THE END USER</t>
  </si>
  <si>
    <t>SET UP YOUR MISSION INFORMATION FOR THE SCRIPT TO USE</t>
  </si>
  <si>
    <t>Cruise</t>
  </si>
  <si>
    <t>Loiter</t>
  </si>
  <si>
    <t>TSFC</t>
  </si>
  <si>
    <t>CD0</t>
  </si>
  <si>
    <t>e</t>
  </si>
  <si>
    <t>Range (ft)</t>
  </si>
  <si>
    <t>Payload, fixed (lbf)</t>
  </si>
  <si>
    <t>Payload, drop (lbf)</t>
  </si>
  <si>
    <t>Time (min)</t>
  </si>
  <si>
    <t>Dry</t>
  </si>
  <si>
    <t>Wet</t>
  </si>
  <si>
    <t>Dry or 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</si>
</sst>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2" borderId="6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1" xfId="0" applyFill="1" applyBorder="1"/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A0A0A"/>
      </a:dk1>
      <a:lt1>
        <a:sysClr val="window" lastClr="FAFAFA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7ADD-1D50-47CD-83BC-27CA46B5394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12</v>
      </c>
    </row>
    <row r="3" spans="1:1" x14ac:dyDescent="0.25">
      <c r="A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DFB2-1219-4035-B524-6E37F4BFF669}">
  <dimension ref="A4:M16"/>
  <sheetViews>
    <sheetView tabSelected="1" workbookViewId="0">
      <selection activeCell="O7" sqref="O7"/>
    </sheetView>
  </sheetViews>
  <sheetFormatPr defaultRowHeight="15" x14ac:dyDescent="0.25"/>
  <cols>
    <col min="3" max="3" width="16.85546875" customWidth="1"/>
    <col min="8" max="8" width="10" bestFit="1" customWidth="1"/>
    <col min="15" max="15" width="11.140625" customWidth="1"/>
  </cols>
  <sheetData>
    <row r="4" spans="1:13" ht="15.75" thickBot="1" x14ac:dyDescent="0.3"/>
    <row r="5" spans="1:13" ht="15.75" thickBot="1" x14ac:dyDescent="0.3">
      <c r="C5" s="2" t="s">
        <v>11</v>
      </c>
      <c r="D5" s="10" t="s">
        <v>0</v>
      </c>
      <c r="E5" s="11" t="s">
        <v>1</v>
      </c>
      <c r="F5" s="11" t="s">
        <v>2</v>
      </c>
      <c r="G5" s="11" t="s">
        <v>3</v>
      </c>
      <c r="H5" s="11" t="s">
        <v>14</v>
      </c>
      <c r="I5" s="11" t="s">
        <v>4</v>
      </c>
      <c r="J5" s="11" t="s">
        <v>5</v>
      </c>
      <c r="K5" s="11" t="s">
        <v>14</v>
      </c>
      <c r="L5" s="11" t="s">
        <v>15</v>
      </c>
      <c r="M5" s="12" t="s">
        <v>6</v>
      </c>
    </row>
    <row r="6" spans="1:13" x14ac:dyDescent="0.25">
      <c r="C6" s="7" t="s">
        <v>9</v>
      </c>
      <c r="D6" s="3">
        <f>0</f>
        <v>0</v>
      </c>
      <c r="E6" s="6">
        <f>0</f>
        <v>0</v>
      </c>
      <c r="F6" s="6">
        <f>0</f>
        <v>0</v>
      </c>
      <c r="G6" s="4">
        <v>40000</v>
      </c>
      <c r="H6" s="4">
        <v>40000</v>
      </c>
      <c r="I6" s="4">
        <v>40000</v>
      </c>
      <c r="J6" s="4">
        <f>25000</f>
        <v>25000</v>
      </c>
      <c r="K6" s="4">
        <v>40000</v>
      </c>
      <c r="L6" s="4">
        <f>10000</f>
        <v>10000</v>
      </c>
      <c r="M6" s="6">
        <f>0</f>
        <v>0</v>
      </c>
    </row>
    <row r="7" spans="1:13" ht="30" x14ac:dyDescent="0.25">
      <c r="C7" s="8" t="s">
        <v>20</v>
      </c>
      <c r="D7" s="5">
        <v>5100</v>
      </c>
      <c r="E7" s="5">
        <v>5100</v>
      </c>
      <c r="F7" s="5">
        <v>5100</v>
      </c>
      <c r="G7" s="5">
        <v>5100</v>
      </c>
      <c r="H7" s="5">
        <v>5100</v>
      </c>
      <c r="I7" s="5">
        <v>5100</v>
      </c>
      <c r="J7" s="5">
        <v>5100</v>
      </c>
      <c r="K7" s="5">
        <v>5100</v>
      </c>
      <c r="L7" s="5">
        <v>5100</v>
      </c>
      <c r="M7" s="5">
        <v>5100</v>
      </c>
    </row>
    <row r="8" spans="1:13" ht="30" x14ac:dyDescent="0.25">
      <c r="C8" s="8" t="s">
        <v>21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4400</v>
      </c>
      <c r="K8" s="5">
        <v>0</v>
      </c>
      <c r="L8" s="5">
        <v>0</v>
      </c>
      <c r="M8" s="5">
        <v>0</v>
      </c>
    </row>
    <row r="9" spans="1:13" x14ac:dyDescent="0.25">
      <c r="A9" s="1"/>
      <c r="C9" s="8" t="s">
        <v>7</v>
      </c>
      <c r="D9" s="5">
        <f>0</f>
        <v>0</v>
      </c>
      <c r="E9" s="5">
        <f>0</f>
        <v>0</v>
      </c>
      <c r="F9" s="5">
        <v>0.87</v>
      </c>
      <c r="G9" s="5">
        <v>0.87</v>
      </c>
      <c r="H9" s="5">
        <f>0.87</f>
        <v>0.87</v>
      </c>
      <c r="I9" s="5">
        <f>1.6</f>
        <v>1.6</v>
      </c>
      <c r="J9" s="6">
        <f>0.8</f>
        <v>0.8</v>
      </c>
      <c r="K9" s="6">
        <f>0.87</f>
        <v>0.87</v>
      </c>
      <c r="L9" s="6">
        <v>0.3</v>
      </c>
      <c r="M9" s="6">
        <f>0</f>
        <v>0</v>
      </c>
    </row>
    <row r="10" spans="1:13" x14ac:dyDescent="0.25">
      <c r="A10" s="1"/>
      <c r="C10" s="8" t="s">
        <v>8</v>
      </c>
      <c r="D10" s="5"/>
      <c r="E10" s="6"/>
      <c r="F10" s="6"/>
      <c r="G10" s="6"/>
      <c r="H10" s="6"/>
      <c r="I10" s="6"/>
      <c r="J10" s="6">
        <v>2</v>
      </c>
      <c r="K10" s="6"/>
      <c r="L10" s="6"/>
      <c r="M10" s="6"/>
    </row>
    <row r="11" spans="1:13" x14ac:dyDescent="0.25">
      <c r="A11" s="1"/>
      <c r="C11" s="8" t="s">
        <v>19</v>
      </c>
      <c r="D11" s="5"/>
      <c r="E11" s="6"/>
      <c r="F11" s="6"/>
      <c r="G11" s="6"/>
      <c r="H11" s="6">
        <f>190*6076.12</f>
        <v>1154462.8</v>
      </c>
      <c r="I11" s="6">
        <f>50*6076.12</f>
        <v>303806</v>
      </c>
      <c r="J11" s="6" t="s">
        <v>10</v>
      </c>
      <c r="K11" s="6">
        <f>SUM(C11:J11)</f>
        <v>1458268.8</v>
      </c>
      <c r="L11" s="6"/>
      <c r="M11" s="6"/>
    </row>
    <row r="12" spans="1:13" ht="15.75" thickBot="1" x14ac:dyDescent="0.3">
      <c r="A12" s="1"/>
      <c r="C12" s="9" t="s">
        <v>22</v>
      </c>
      <c r="D12" s="5"/>
      <c r="E12" s="6"/>
      <c r="F12" s="6"/>
      <c r="G12" s="6"/>
      <c r="H12" s="6"/>
      <c r="I12" s="6"/>
      <c r="J12" s="6">
        <v>2</v>
      </c>
      <c r="K12" s="6"/>
      <c r="L12" s="6">
        <v>20</v>
      </c>
      <c r="M12" s="6"/>
    </row>
    <row r="13" spans="1:13" ht="15.75" thickBot="1" x14ac:dyDescent="0.3">
      <c r="A13" s="1"/>
      <c r="C13" s="9" t="s">
        <v>16</v>
      </c>
      <c r="D13" s="5">
        <v>1.0000000000000001E-5</v>
      </c>
      <c r="E13" s="6">
        <v>5.0000000000000002E-5</v>
      </c>
      <c r="F13" s="6">
        <v>1E-4</v>
      </c>
      <c r="G13" s="6">
        <v>1.9000000000000001E-4</v>
      </c>
      <c r="H13" s="6">
        <v>1.9000000000000001E-4</v>
      </c>
      <c r="I13" s="6">
        <v>6.0999999999999997E-4</v>
      </c>
      <c r="J13" s="6">
        <v>4.6999999999999999E-4</v>
      </c>
      <c r="K13" s="6">
        <v>1.9000000000000001E-4</v>
      </c>
      <c r="L13" s="6">
        <v>1.9000000000000001E-4</v>
      </c>
      <c r="M13" s="6">
        <v>0</v>
      </c>
    </row>
    <row r="14" spans="1:13" ht="15.75" thickBot="1" x14ac:dyDescent="0.3">
      <c r="A14" s="1"/>
      <c r="C14" s="9" t="s">
        <v>17</v>
      </c>
      <c r="D14" s="5">
        <v>2.7E-2</v>
      </c>
      <c r="E14" s="6">
        <v>2.7E-2</v>
      </c>
      <c r="F14" s="6">
        <v>2.7E-2</v>
      </c>
      <c r="G14" s="6">
        <v>2.7E-2</v>
      </c>
      <c r="H14" s="6">
        <v>2.7E-2</v>
      </c>
      <c r="I14" s="6">
        <v>2.7E-2</v>
      </c>
      <c r="J14" s="6">
        <v>2.7E-2</v>
      </c>
      <c r="K14" s="6">
        <v>2.7E-2</v>
      </c>
      <c r="L14" s="6">
        <v>2.7E-2</v>
      </c>
      <c r="M14" s="6">
        <v>2.7E-2</v>
      </c>
    </row>
    <row r="15" spans="1:13" ht="15.75" thickBot="1" x14ac:dyDescent="0.3">
      <c r="C15" s="9" t="s">
        <v>18</v>
      </c>
      <c r="D15" s="5">
        <v>0.91400000000000003</v>
      </c>
      <c r="E15" s="5">
        <v>0.91400000000000003</v>
      </c>
      <c r="F15" s="5">
        <v>0.91400000000000003</v>
      </c>
      <c r="G15" s="5">
        <v>0.91400000000000003</v>
      </c>
      <c r="H15" s="5">
        <v>0.91400000000000003</v>
      </c>
      <c r="I15" s="5">
        <v>0.91400000000000003</v>
      </c>
      <c r="J15" s="5">
        <v>0.91400000000000003</v>
      </c>
      <c r="K15" s="5">
        <v>0.91400000000000003</v>
      </c>
      <c r="L15" s="5">
        <v>0.91400000000000003</v>
      </c>
      <c r="M15" s="5">
        <v>0.91400000000000003</v>
      </c>
    </row>
    <row r="16" spans="1:13" ht="15.75" thickBot="1" x14ac:dyDescent="0.3">
      <c r="C16" s="9" t="s">
        <v>25</v>
      </c>
      <c r="D16" s="5" t="s">
        <v>23</v>
      </c>
      <c r="E16" s="5" t="s">
        <v>23</v>
      </c>
      <c r="F16" s="5" t="s">
        <v>23</v>
      </c>
      <c r="G16" s="5" t="s">
        <v>23</v>
      </c>
      <c r="H16" s="5" t="s">
        <v>23</v>
      </c>
      <c r="I16" s="5" t="s">
        <v>24</v>
      </c>
      <c r="J16" s="5" t="s">
        <v>24</v>
      </c>
      <c r="K16" s="5" t="s">
        <v>23</v>
      </c>
      <c r="L16" s="5" t="s">
        <v>23</v>
      </c>
      <c r="M16" s="5" t="s">
        <v>23</v>
      </c>
    </row>
  </sheetData>
  <phoneticPr fontId="2" type="noConversion"/>
  <conditionalFormatting sqref="D6:M16">
    <cfRule type="containsBlanks" dxfId="0" priority="1">
      <formula>LEN(TRIM(D6))=0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2026-03-02T14:22:37Z</dcterms:created>
  <dcterms:modified xsi:type="dcterms:W3CDTF">2026-05-11T12:20:57Z</dcterms:modified>
</cp:coreProperties>
</file>