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Shrike\Operator\"/>
    </mc:Choice>
  </mc:AlternateContent>
  <xr:revisionPtr revIDLastSave="0" documentId="13_ncr:1_{24BC9088-A884-44B0-9B4B-259B06B95FDB}" xr6:coauthVersionLast="47" xr6:coauthVersionMax="47" xr10:uidLastSave="{00000000-0000-0000-0000-000000000000}"/>
  <bookViews>
    <workbookView xWindow="22932" yWindow="384" windowWidth="23256" windowHeight="12720" activeTab="4" xr2:uid="{A16C2A72-36AD-490A-A958-AABD199434F3}"/>
  </bookViews>
  <sheets>
    <sheet name="Sheet1" sheetId="1" r:id="rId1"/>
    <sheet name="Constraints" sheetId="3" r:id="rId2"/>
    <sheet name="Aero_Constraints" sheetId="2" r:id="rId3"/>
    <sheet name="Requirements" sheetId="5" r:id="rId4"/>
    <sheet name="Thrust_Constrain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<sst xmlns="http://schemas.openxmlformats.org/spreadsheetml/2006/main" count="53" uniqueCount="33">
  <si>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Altitude (ft)</t>
  </si>
  <si>
    <t>Max Mach</t>
  </si>
  <si>
    <t>CD0</t>
  </si>
  <si>
    <t>Cruise</t>
  </si>
  <si>
    <t>Constraint names</t>
  </si>
  <si>
    <t>Max Alt</t>
  </si>
  <si>
    <t>Combat Turn 1</t>
  </si>
  <si>
    <t>Combat Turn 2</t>
  </si>
  <si>
    <t>PS</t>
  </si>
  <si>
    <t>Mach</t>
  </si>
  <si>
    <t>n</t>
  </si>
  <si>
    <t>AB</t>
  </si>
  <si>
    <t>W/Wto</t>
  </si>
  <si>
    <t>K1</t>
  </si>
  <si>
    <t>K2</t>
  </si>
  <si>
    <t>alpha_dry</t>
  </si>
  <si>
    <t>alpha_wet</t>
  </si>
  <si>
    <t>Combat Subsonic</t>
  </si>
  <si>
    <t>Combat Supersonic</t>
  </si>
  <si>
    <t>Excess Power</t>
  </si>
  <si>
    <t>Takeoff</t>
  </si>
  <si>
    <t>Landing</t>
  </si>
  <si>
    <t>FIGURE OUT THE CALCULATIONS LATER</t>
  </si>
  <si>
    <t>AB%</t>
  </si>
  <si>
    <t>throttle lapse</t>
  </si>
  <si>
    <t>Distance (fT)</t>
  </si>
  <si>
    <t>e</t>
  </si>
  <si>
    <t>CLmax</t>
  </si>
  <si>
    <t>Mach number</t>
  </si>
  <si>
    <t>PS (ft/s)</t>
  </si>
  <si>
    <t>Vstall</t>
  </si>
  <si>
    <t>Distance (ft)</t>
  </si>
  <si>
    <t>Surface friction coefficient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</si>
</sst>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563-F6A3-46C3-994F-DB9DA4287A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AD3C-E6FF-4419-831A-3F084B0EBA52}">
  <dimension ref="C2:Y29"/>
  <sheetViews>
    <sheetView topLeftCell="A6" workbookViewId="0">
      <selection activeCell="T14" sqref="T14"/>
    </sheetView>
  </sheetViews>
  <sheetFormatPr defaultRowHeight="15" x14ac:dyDescent="0.25"/>
  <cols>
    <col min="7" max="7" width="11.28515625" customWidth="1"/>
    <col min="8" max="8" width="10.28515625" customWidth="1"/>
    <col min="9" max="9" width="9.85546875" customWidth="1"/>
  </cols>
  <sheetData>
    <row r="2" spans="3:25" x14ac:dyDescent="0.25">
      <c r="D2" t="s">
        <v>22</v>
      </c>
    </row>
    <row r="4" spans="3:25" ht="15.75" thickBot="1" x14ac:dyDescent="0.3"/>
    <row r="5" spans="3:25" ht="60.75" thickBot="1" x14ac:dyDescent="0.3">
      <c r="C5" s="1"/>
      <c r="D5" s="2" t="s">
        <v>12</v>
      </c>
      <c r="E5" s="2" t="s">
        <v>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23</v>
      </c>
      <c r="K5" s="3" t="s">
        <v>24</v>
      </c>
      <c r="L5" s="3" t="s">
        <v>2</v>
      </c>
      <c r="M5" s="3" t="s">
        <v>26</v>
      </c>
      <c r="N5" s="3" t="s">
        <v>27</v>
      </c>
      <c r="O5" s="4" t="s">
        <v>10</v>
      </c>
      <c r="P5" s="4" t="s">
        <v>0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/>
      <c r="W5" s="4"/>
      <c r="X5" s="4"/>
      <c r="Y5" s="4"/>
    </row>
    <row r="6" spans="3:25" ht="30.75" thickBot="1" x14ac:dyDescent="0.3">
      <c r="C6" s="5" t="s">
        <v>1</v>
      </c>
      <c r="D6" s="6">
        <v>0.89966599999999997</v>
      </c>
      <c r="E6" s="6">
        <v>3.9316999999999998E-2</v>
      </c>
      <c r="F6" s="6">
        <v>0.213727</v>
      </c>
      <c r="G6" s="6">
        <v>0</v>
      </c>
      <c r="H6" s="6">
        <v>0.29829299999999997</v>
      </c>
      <c r="I6" s="6">
        <v>0.57698000000000005</v>
      </c>
      <c r="J6" s="7">
        <v>100</v>
      </c>
      <c r="K6" s="7">
        <v>0.57699999999999996</v>
      </c>
      <c r="L6" s="7">
        <v>3.9316999999999998E-2</v>
      </c>
      <c r="M6" s="7">
        <v>0.91400000000000003</v>
      </c>
      <c r="N6" s="8"/>
      <c r="O6" s="8">
        <v>1</v>
      </c>
      <c r="P6" s="8">
        <v>36000</v>
      </c>
      <c r="Q6" s="8">
        <v>1.6</v>
      </c>
      <c r="R6" s="8"/>
      <c r="S6" s="8"/>
      <c r="T6" s="8"/>
      <c r="U6" s="8"/>
      <c r="V6" s="8"/>
      <c r="W6" s="8"/>
      <c r="X6" s="8"/>
      <c r="Y6" s="8"/>
    </row>
    <row r="7" spans="3:25" x14ac:dyDescent="0.25">
      <c r="C7" s="5" t="s">
        <v>3</v>
      </c>
      <c r="D7" s="6">
        <v>0.89966599999999997</v>
      </c>
      <c r="E7" s="6">
        <v>1.6996000000000001E-2</v>
      </c>
      <c r="F7" s="10">
        <v>0.116031</v>
      </c>
      <c r="G7" s="10">
        <v>-6.3E-3</v>
      </c>
      <c r="H7" s="10">
        <v>0.27111000000000002</v>
      </c>
      <c r="I7" s="10">
        <v>0.33264199999999999</v>
      </c>
      <c r="J7" s="10">
        <v>0</v>
      </c>
      <c r="K7" s="8">
        <v>0.1711</v>
      </c>
      <c r="L7" s="8">
        <v>1.6996000000000001E-2</v>
      </c>
      <c r="M7" s="7">
        <v>0.91400000000000003</v>
      </c>
      <c r="N7" s="8"/>
      <c r="O7" s="8">
        <v>1</v>
      </c>
      <c r="P7" s="8">
        <v>36000</v>
      </c>
      <c r="Q7" s="8">
        <v>0.87</v>
      </c>
      <c r="R7" s="8"/>
      <c r="S7" s="8"/>
      <c r="T7" s="8"/>
      <c r="U7" s="8"/>
      <c r="V7" s="8"/>
      <c r="W7" s="8"/>
      <c r="X7" s="8"/>
      <c r="Y7" s="8"/>
    </row>
    <row r="8" spans="3:25" x14ac:dyDescent="0.25">
      <c r="C8" s="9" t="s">
        <v>5</v>
      </c>
      <c r="D8" s="6">
        <v>0.89966599999999997</v>
      </c>
      <c r="E8" s="6">
        <v>1.6996000000000001E-2</v>
      </c>
      <c r="F8" s="10">
        <v>0.116031</v>
      </c>
      <c r="G8" s="10">
        <v>-6.3E-3</v>
      </c>
      <c r="H8" s="10">
        <v>0.138789</v>
      </c>
      <c r="I8" s="10">
        <v>0.17029</v>
      </c>
      <c r="J8" s="10">
        <v>100</v>
      </c>
      <c r="K8" s="8">
        <v>0.17030000000000001</v>
      </c>
      <c r="L8" s="8">
        <v>1.6996000000000001E-2</v>
      </c>
      <c r="M8" s="7">
        <v>0.91400000000000003</v>
      </c>
      <c r="N8" s="8"/>
      <c r="O8" s="8">
        <v>1</v>
      </c>
      <c r="P8" s="8">
        <v>50000</v>
      </c>
      <c r="Q8" s="8">
        <v>0.87</v>
      </c>
      <c r="R8" s="8"/>
      <c r="S8" s="8"/>
      <c r="T8" s="8"/>
      <c r="U8" s="8"/>
      <c r="V8" s="8"/>
      <c r="W8" s="8"/>
      <c r="X8" s="8"/>
      <c r="Y8" s="8"/>
    </row>
    <row r="9" spans="3:25" ht="30" x14ac:dyDescent="0.25">
      <c r="C9" s="9" t="s">
        <v>17</v>
      </c>
      <c r="D9" s="6">
        <v>0.89966599999999997</v>
      </c>
      <c r="E9" s="6">
        <v>1.6996000000000001E-2</v>
      </c>
      <c r="F9" s="10">
        <v>0.116031</v>
      </c>
      <c r="G9" s="10">
        <v>-6.3E-3</v>
      </c>
      <c r="H9" s="10">
        <v>0.55566199999999999</v>
      </c>
      <c r="I9" s="8">
        <v>0.68177699999999997</v>
      </c>
      <c r="J9" s="8">
        <v>100</v>
      </c>
      <c r="K9" s="8">
        <v>0.68179999999999996</v>
      </c>
      <c r="L9" s="8">
        <v>1.6996000000000001E-2</v>
      </c>
      <c r="M9" s="7">
        <v>0.91400000000000003</v>
      </c>
      <c r="N9" s="8"/>
      <c r="O9" s="8">
        <v>4.5</v>
      </c>
      <c r="P9" s="8">
        <v>20000</v>
      </c>
      <c r="Q9" s="8">
        <v>0.87</v>
      </c>
      <c r="R9" s="8"/>
      <c r="S9" s="8"/>
      <c r="T9" s="8"/>
      <c r="U9" s="8"/>
      <c r="V9" s="8"/>
      <c r="W9" s="8"/>
      <c r="X9" s="8"/>
      <c r="Y9" s="8"/>
    </row>
    <row r="10" spans="3:25" ht="45" x14ac:dyDescent="0.25">
      <c r="C10" s="9" t="s">
        <v>18</v>
      </c>
      <c r="D10" s="6">
        <v>0.89966599999999997</v>
      </c>
      <c r="E10" s="6">
        <v>4.0613999999999997E-2</v>
      </c>
      <c r="F10" s="10">
        <v>0.21940599999999999</v>
      </c>
      <c r="G10" s="10">
        <v>-1E-3</v>
      </c>
      <c r="H10" s="10">
        <v>0.35786200000000001</v>
      </c>
      <c r="I10" s="8">
        <v>0.556558</v>
      </c>
      <c r="J10" s="8">
        <v>100</v>
      </c>
      <c r="K10" s="8">
        <v>0.55659999999999998</v>
      </c>
      <c r="L10" s="8">
        <v>4.0613999999999997E-2</v>
      </c>
      <c r="M10" s="7">
        <v>0.91400000000000003</v>
      </c>
      <c r="N10" s="8"/>
      <c r="O10" s="8">
        <v>1.4</v>
      </c>
      <c r="P10" s="8">
        <v>36000</v>
      </c>
      <c r="Q10" s="8">
        <v>1.4</v>
      </c>
      <c r="R10" s="8"/>
      <c r="S10" s="8"/>
      <c r="T10" s="8"/>
      <c r="U10" s="8"/>
      <c r="V10" s="8"/>
      <c r="W10" s="8"/>
      <c r="X10" s="8"/>
      <c r="Y10" s="8"/>
    </row>
    <row r="11" spans="3:25" ht="30" x14ac:dyDescent="0.25">
      <c r="C11" s="9" t="s">
        <v>19</v>
      </c>
      <c r="D11" s="6">
        <v>0.89966599999999997</v>
      </c>
      <c r="E11" s="6">
        <v>1.6996000000000001E-2</v>
      </c>
      <c r="F11" s="10">
        <v>0.116031</v>
      </c>
      <c r="G11" s="10">
        <v>-6.3E-3</v>
      </c>
      <c r="H11" s="10">
        <v>0.70272699999999999</v>
      </c>
      <c r="I11" s="8">
        <v>0.85355000000000003</v>
      </c>
      <c r="J11" s="8">
        <v>100</v>
      </c>
      <c r="K11" s="8">
        <v>0.85360000000000003</v>
      </c>
      <c r="L11" s="8">
        <v>1.6996000000000001E-2</v>
      </c>
      <c r="M11" s="7">
        <v>0.91400000000000003</v>
      </c>
      <c r="N11" s="8"/>
      <c r="O11" s="8">
        <v>1</v>
      </c>
      <c r="P11" s="8">
        <v>10000</v>
      </c>
      <c r="Q11" s="8">
        <v>0.87</v>
      </c>
      <c r="R11" s="8">
        <v>500</v>
      </c>
      <c r="S11" s="8">
        <v>1.2</v>
      </c>
      <c r="T11" s="8"/>
      <c r="U11" s="8"/>
      <c r="V11" s="8"/>
      <c r="W11" s="8"/>
      <c r="X11" s="8"/>
      <c r="Y11" s="8"/>
    </row>
    <row r="12" spans="3:25" ht="15.75" thickBot="1" x14ac:dyDescent="0.3">
      <c r="C12" s="11" t="s">
        <v>20</v>
      </c>
      <c r="D12" s="10">
        <v>1</v>
      </c>
      <c r="E12" s="10">
        <v>5.1996000000000001E-2</v>
      </c>
      <c r="F12" s="10">
        <v>0.116031</v>
      </c>
      <c r="G12" s="10">
        <v>-6.3E-3</v>
      </c>
      <c r="H12" s="10">
        <v>0.939778</v>
      </c>
      <c r="I12" s="8">
        <v>0.95505300000000004</v>
      </c>
      <c r="J12" s="8"/>
      <c r="K12" s="8">
        <v>0.95505300000000004</v>
      </c>
      <c r="L12" s="8">
        <v>5.1996000000000001E-2</v>
      </c>
      <c r="M12" s="7">
        <v>0.91400000000000003</v>
      </c>
      <c r="N12" s="8">
        <v>1.2756700000000001</v>
      </c>
      <c r="O12" s="8"/>
      <c r="P12" s="8">
        <v>0</v>
      </c>
      <c r="Q12" s="8"/>
      <c r="R12" s="8"/>
      <c r="S12" s="8">
        <v>1.3</v>
      </c>
      <c r="T12" s="8">
        <v>1000</v>
      </c>
      <c r="U12" s="8">
        <v>0.03</v>
      </c>
      <c r="V12" s="8"/>
      <c r="W12" s="8"/>
      <c r="X12" s="8"/>
      <c r="Y12" s="8"/>
    </row>
    <row r="13" spans="3:25" ht="15.75" thickBot="1" x14ac:dyDescent="0.3">
      <c r="C13" s="11" t="s">
        <v>21</v>
      </c>
      <c r="D13" s="10">
        <v>1</v>
      </c>
      <c r="E13" s="10">
        <v>5.1996000000000001E-2</v>
      </c>
      <c r="F13" s="10">
        <v>0.116031</v>
      </c>
      <c r="G13" s="10">
        <v>-6.3E-3</v>
      </c>
      <c r="H13" s="10">
        <v>0.939778</v>
      </c>
      <c r="I13" s="8">
        <v>0.95505300000000004</v>
      </c>
      <c r="J13" s="8"/>
      <c r="K13" s="8"/>
      <c r="L13" s="8">
        <v>6.1996000000000002E-2</v>
      </c>
      <c r="M13" s="7">
        <v>0.91400000000000003</v>
      </c>
      <c r="N13" s="8">
        <v>1.42591</v>
      </c>
      <c r="O13" s="8"/>
      <c r="P13" s="8">
        <v>0</v>
      </c>
      <c r="Q13" s="8"/>
      <c r="R13" s="8"/>
      <c r="S13" s="8"/>
      <c r="T13" s="8">
        <v>1000</v>
      </c>
      <c r="U13" s="8">
        <v>0.5</v>
      </c>
      <c r="V13" s="8"/>
      <c r="W13" s="8"/>
      <c r="X13" s="8"/>
      <c r="Y13" s="8"/>
    </row>
    <row r="14" spans="3:2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3:2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3:2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3:2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3:2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3:2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3:25" ht="15.75" thickBot="1" x14ac:dyDescent="0.3">
      <c r="C20" s="11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3:25" ht="15.75" thickBot="1" x14ac:dyDescent="0.3">
      <c r="C21" s="11"/>
      <c r="D21" s="10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3:2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3:2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3:2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3:2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3:2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3:2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3:25" ht="15.75" thickBot="1" x14ac:dyDescent="0.3">
      <c r="C28" s="1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3:25" ht="15.75" thickBot="1" x14ac:dyDescent="0.3">
      <c r="C29" s="11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conditionalFormatting sqref="D6:Y29">
    <cfRule type="expression" dxfId="11" priority="1">
      <formula>ISNOTFORMULA(D6)</formula>
    </cfRule>
    <cfRule type="expression" dxfId="10" priority="2">
      <formula>_xlfn.ISFORMULA(D6)</formula>
    </cfRule>
    <cfRule type="containsBlanks" dxfId="9" priority="3">
      <formula>LEN(TRIM(D6))=0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E17F-F93C-4259-85CC-A015389E4C4E}">
  <dimension ref="C2:O27"/>
  <sheetViews>
    <sheetView workbookViewId="0">
      <selection activeCell="D6" sqref="D6"/>
    </sheetView>
  </sheetViews>
  <sheetFormatPr defaultRowHeight="15" x14ac:dyDescent="0.25"/>
  <cols>
    <col min="4" max="4" width="11.85546875" bestFit="1" customWidth="1"/>
  </cols>
  <sheetData>
    <row r="2" spans="3:15" ht="15.75" thickBot="1" x14ac:dyDescent="0.3">
      <c r="D2" t="s">
        <v>4</v>
      </c>
    </row>
    <row r="3" spans="3:15" ht="30.75" thickBot="1" x14ac:dyDescent="0.3">
      <c r="C3" s="1"/>
      <c r="D3" s="2" t="s">
        <v>1</v>
      </c>
      <c r="E3" s="3" t="s">
        <v>3</v>
      </c>
      <c r="F3" s="3" t="s">
        <v>5</v>
      </c>
      <c r="G3" s="3" t="s">
        <v>6</v>
      </c>
      <c r="H3" s="3" t="s">
        <v>7</v>
      </c>
      <c r="I3" s="3" t="s">
        <v>8</v>
      </c>
      <c r="J3" s="3"/>
      <c r="K3" s="3"/>
      <c r="L3" s="3"/>
      <c r="M3" s="3"/>
      <c r="N3" s="3"/>
      <c r="O3" s="4"/>
    </row>
    <row r="4" spans="3:15" ht="15.75" thickBot="1" x14ac:dyDescent="0.3">
      <c r="C4" s="5"/>
      <c r="D4" s="6"/>
      <c r="E4" s="6"/>
      <c r="F4" s="6"/>
      <c r="G4" s="6"/>
      <c r="H4" s="6"/>
      <c r="I4" s="6"/>
      <c r="J4" s="7"/>
      <c r="K4" s="7"/>
      <c r="L4" s="7"/>
      <c r="M4" s="7"/>
      <c r="N4" s="8"/>
      <c r="O4" s="8"/>
    </row>
    <row r="5" spans="3:15" ht="30" x14ac:dyDescent="0.25">
      <c r="C5" s="5" t="s">
        <v>0</v>
      </c>
      <c r="D5" s="6">
        <v>36000</v>
      </c>
      <c r="E5" s="10">
        <v>36000</v>
      </c>
      <c r="F5" s="10">
        <v>50000</v>
      </c>
      <c r="G5" s="10">
        <v>20000</v>
      </c>
      <c r="H5" s="10">
        <v>36000</v>
      </c>
      <c r="I5" s="10">
        <v>10000</v>
      </c>
      <c r="J5" s="10"/>
      <c r="K5" s="8"/>
      <c r="L5" s="8"/>
      <c r="M5" s="8"/>
      <c r="N5" s="8"/>
      <c r="O5" s="8"/>
    </row>
    <row r="6" spans="3:15" x14ac:dyDescent="0.25">
      <c r="C6" s="9" t="s">
        <v>9</v>
      </c>
      <c r="D6" s="10">
        <v>1.6</v>
      </c>
      <c r="E6" s="10">
        <v>0.87</v>
      </c>
      <c r="F6" s="10">
        <v>0.87</v>
      </c>
      <c r="G6" s="10">
        <v>0.87</v>
      </c>
      <c r="H6" s="10">
        <v>1.4</v>
      </c>
      <c r="I6" s="10">
        <v>0.87</v>
      </c>
      <c r="J6" s="10"/>
      <c r="K6" s="8"/>
      <c r="L6" s="8"/>
      <c r="M6" s="8"/>
      <c r="N6" s="8"/>
      <c r="O6" s="8"/>
    </row>
    <row r="7" spans="3:15" x14ac:dyDescent="0.25">
      <c r="C7" s="9" t="s">
        <v>10</v>
      </c>
      <c r="D7" s="10">
        <v>1</v>
      </c>
      <c r="E7" s="10">
        <v>1</v>
      </c>
      <c r="F7" s="10">
        <v>1</v>
      </c>
      <c r="G7" s="10">
        <v>4.5</v>
      </c>
      <c r="H7" s="8">
        <v>1.4</v>
      </c>
      <c r="I7" s="8">
        <v>1</v>
      </c>
      <c r="J7" s="8"/>
      <c r="K7" s="8"/>
      <c r="L7" s="8"/>
      <c r="M7" s="8"/>
      <c r="N7" s="8"/>
      <c r="O7" s="8"/>
    </row>
    <row r="8" spans="3:15" x14ac:dyDescent="0.25">
      <c r="C8" s="9" t="s">
        <v>11</v>
      </c>
      <c r="D8" s="10">
        <v>100</v>
      </c>
      <c r="E8" s="10">
        <v>0</v>
      </c>
      <c r="F8" s="10">
        <v>100</v>
      </c>
      <c r="G8" s="10">
        <v>100</v>
      </c>
      <c r="H8" s="8">
        <v>100</v>
      </c>
      <c r="I8" s="8">
        <v>100</v>
      </c>
      <c r="J8" s="8"/>
      <c r="K8" s="8"/>
      <c r="L8" s="8"/>
      <c r="M8" s="8"/>
      <c r="N8" s="8"/>
      <c r="O8" s="8"/>
    </row>
    <row r="9" spans="3:15" x14ac:dyDescent="0.25">
      <c r="C9" s="9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</row>
    <row r="10" spans="3:15" ht="15.75" thickBot="1" x14ac:dyDescent="0.3">
      <c r="C10" s="11" t="s">
        <v>8</v>
      </c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8" priority="1">
      <formula>ISNOTFORMULA(D4)</formula>
    </cfRule>
    <cfRule type="expression" dxfId="7" priority="2">
      <formula>_xlfn.ISFORMULA(D4)</formula>
    </cfRule>
    <cfRule type="containsBlanks" dxfId="6" priority="3">
      <formula>LEN(TRIM(D4))=0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workbookViewId="0">
      <selection activeCell="J10" sqref="J10"/>
    </sheetView>
  </sheetViews>
  <sheetFormatPr defaultRowHeight="15" x14ac:dyDescent="0.25"/>
  <sheetData>
    <row r="2" spans="3:15" ht="15.75" thickBot="1" x14ac:dyDescent="0.3"/>
    <row r="3" spans="3:15" ht="30.75" thickBot="1" x14ac:dyDescent="0.3">
      <c r="C3" s="1"/>
      <c r="D3" s="2" t="s">
        <v>1</v>
      </c>
      <c r="E3" s="3" t="s">
        <v>3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20</v>
      </c>
      <c r="K3" s="3" t="s">
        <v>21</v>
      </c>
      <c r="L3" s="3"/>
      <c r="M3" s="3"/>
      <c r="N3" s="3"/>
      <c r="O3" s="4"/>
    </row>
    <row r="4" spans="3:15" ht="30" x14ac:dyDescent="0.2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25">
      <c r="C5" s="9" t="s">
        <v>9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25">
      <c r="C6" s="9" t="s">
        <v>10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25">
      <c r="C7" s="9" t="s">
        <v>11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x14ac:dyDescent="0.25">
      <c r="C8" s="9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</row>
    <row r="9" spans="3:15" ht="15.75" thickBot="1" x14ac:dyDescent="0.3">
      <c r="C9" s="11" t="s">
        <v>8</v>
      </c>
      <c r="D9" s="10"/>
      <c r="E9" s="10"/>
      <c r="F9" s="10"/>
      <c r="G9" s="10"/>
      <c r="H9" s="8"/>
      <c r="I9" s="8">
        <v>500</v>
      </c>
      <c r="J9" s="8"/>
      <c r="K9" s="8"/>
      <c r="L9" s="8"/>
      <c r="M9" s="8"/>
      <c r="N9" s="8"/>
      <c r="O9" s="8"/>
    </row>
    <row r="10" spans="3:15" ht="30.75" thickBot="1" x14ac:dyDescent="0.3">
      <c r="C10" s="11" t="s">
        <v>25</v>
      </c>
      <c r="D10" s="10"/>
      <c r="E10" s="10"/>
      <c r="F10" s="10"/>
      <c r="G10" s="10"/>
      <c r="H10" s="8"/>
      <c r="I10" s="8"/>
      <c r="J10" s="8">
        <v>7999</v>
      </c>
      <c r="K10" s="8">
        <v>7999</v>
      </c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5" priority="1">
      <formula>ISNOTFORMULA(D4)</formula>
    </cfRule>
    <cfRule type="expression" dxfId="4" priority="2">
      <formula>_xlfn.ISFORMULA(D4)</formula>
    </cfRule>
    <cfRule type="containsBlanks" dxfId="3" priority="3">
      <formula>LEN(TRIM(D4))=0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FCC9-8212-4D1B-890F-B035FF9196ED}">
  <dimension ref="B1:N26"/>
  <sheetViews>
    <sheetView tabSelected="1" workbookViewId="0">
      <selection activeCell="G10" sqref="G10"/>
    </sheetView>
  </sheetViews>
  <sheetFormatPr defaultRowHeight="15" x14ac:dyDescent="0.25"/>
  <sheetData>
    <row r="1" spans="2:14" ht="15.75" thickBot="1" x14ac:dyDescent="0.3"/>
    <row r="2" spans="2:14" ht="15.75" thickBot="1" x14ac:dyDescent="0.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ht="15.75" thickBot="1" x14ac:dyDescent="0.3">
      <c r="B3" s="5"/>
      <c r="C3" s="6"/>
      <c r="D3" s="6"/>
      <c r="E3" s="6"/>
      <c r="F3" s="6"/>
      <c r="G3" s="6"/>
      <c r="H3" s="6"/>
      <c r="I3" s="7"/>
      <c r="J3" s="7"/>
      <c r="K3" s="7"/>
      <c r="L3" s="7"/>
      <c r="M3" s="8"/>
      <c r="N3" s="8"/>
    </row>
    <row r="4" spans="2:14" x14ac:dyDescent="0.25">
      <c r="B4" s="5"/>
      <c r="C4" s="6"/>
      <c r="D4" s="10"/>
      <c r="E4" s="10"/>
      <c r="F4" s="10"/>
      <c r="G4" s="10"/>
      <c r="H4" s="10"/>
      <c r="I4" s="10"/>
      <c r="J4" s="8"/>
      <c r="K4" s="8"/>
      <c r="L4" s="8"/>
      <c r="M4" s="8"/>
      <c r="N4" s="8"/>
    </row>
    <row r="5" spans="2:14" x14ac:dyDescent="0.25">
      <c r="B5" s="9"/>
      <c r="C5" s="10"/>
      <c r="D5" s="10"/>
      <c r="E5" s="10"/>
      <c r="F5" s="10"/>
      <c r="G5" s="10"/>
      <c r="H5" s="10"/>
      <c r="I5" s="10"/>
      <c r="J5" s="8"/>
      <c r="K5" s="8"/>
      <c r="L5" s="8"/>
      <c r="M5" s="8"/>
      <c r="N5" s="8"/>
    </row>
    <row r="6" spans="2:14" x14ac:dyDescent="0.25">
      <c r="B6" s="9"/>
      <c r="C6" s="10"/>
      <c r="D6" s="10"/>
      <c r="E6" s="10"/>
      <c r="F6" s="10"/>
      <c r="G6" s="8"/>
      <c r="H6" s="8"/>
      <c r="I6" s="8"/>
      <c r="J6" s="8"/>
      <c r="K6" s="8"/>
      <c r="L6" s="8"/>
      <c r="M6" s="8"/>
      <c r="N6" s="8"/>
    </row>
    <row r="7" spans="2:14" x14ac:dyDescent="0.25">
      <c r="B7" s="9"/>
      <c r="C7" s="10"/>
      <c r="D7" s="10"/>
      <c r="E7" s="10"/>
      <c r="F7" s="10"/>
      <c r="G7" s="8"/>
      <c r="H7" s="8"/>
      <c r="I7" s="8"/>
      <c r="J7" s="8"/>
      <c r="K7" s="8"/>
      <c r="L7" s="8"/>
      <c r="M7" s="8"/>
      <c r="N7" s="8"/>
    </row>
    <row r="8" spans="2:14" x14ac:dyDescent="0.25">
      <c r="B8" s="9"/>
      <c r="C8" s="10"/>
      <c r="D8" s="10"/>
      <c r="E8" s="10"/>
      <c r="F8" s="10"/>
      <c r="G8" s="8"/>
      <c r="H8" s="8"/>
      <c r="I8" s="8"/>
      <c r="J8" s="8"/>
      <c r="K8" s="8"/>
      <c r="L8" s="8"/>
      <c r="M8" s="8"/>
      <c r="N8" s="8"/>
    </row>
    <row r="9" spans="2:14" ht="15.75" thickBot="1" x14ac:dyDescent="0.3">
      <c r="B9" s="11"/>
      <c r="C9" s="10"/>
      <c r="D9" s="10"/>
      <c r="E9" s="10"/>
      <c r="F9" s="10"/>
      <c r="G9" s="8"/>
      <c r="H9" s="8"/>
      <c r="I9" s="8"/>
      <c r="J9" s="8"/>
      <c r="K9" s="8"/>
      <c r="L9" s="8"/>
      <c r="M9" s="8"/>
      <c r="N9" s="8"/>
    </row>
    <row r="10" spans="2:14" ht="15.75" thickBot="1" x14ac:dyDescent="0.3">
      <c r="B10" s="11"/>
      <c r="C10" s="10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</row>
    <row r="11" spans="2:14" ht="15.75" thickBot="1" x14ac:dyDescent="0.3">
      <c r="B11" s="11"/>
      <c r="C11" s="10"/>
      <c r="D11" s="10"/>
      <c r="E11" s="10"/>
      <c r="F11" s="10"/>
      <c r="G11" s="8"/>
      <c r="H11" s="8"/>
      <c r="I11" s="8"/>
      <c r="J11" s="8"/>
      <c r="K11" s="8"/>
      <c r="L11" s="8"/>
      <c r="M11" s="8"/>
      <c r="N11" s="8"/>
    </row>
    <row r="12" spans="2:14" ht="15.75" thickBot="1" x14ac:dyDescent="0.3">
      <c r="B12" s="11"/>
      <c r="C12" s="10"/>
      <c r="D12" s="10"/>
      <c r="E12" s="10"/>
      <c r="F12" s="10"/>
      <c r="G12" s="8"/>
      <c r="H12" s="8"/>
      <c r="I12" s="8"/>
      <c r="J12" s="8"/>
      <c r="K12" s="8"/>
      <c r="L12" s="8"/>
      <c r="M12" s="8"/>
      <c r="N12" s="8"/>
    </row>
    <row r="13" spans="2:14" ht="15.75" thickBot="1" x14ac:dyDescent="0.3">
      <c r="B13" s="11"/>
      <c r="C13" s="10"/>
      <c r="D13" s="10"/>
      <c r="E13" s="10"/>
      <c r="F13" s="10"/>
      <c r="G13" s="8"/>
      <c r="H13" s="8"/>
      <c r="I13" s="8"/>
      <c r="J13" s="8"/>
      <c r="K13" s="8"/>
      <c r="L13" s="8"/>
      <c r="M13" s="8"/>
      <c r="N13" s="8"/>
    </row>
    <row r="14" spans="2:14" ht="15.75" thickBot="1" x14ac:dyDescent="0.3">
      <c r="B14" s="11"/>
      <c r="C14" s="10"/>
      <c r="D14" s="10"/>
      <c r="E14" s="10"/>
      <c r="F14" s="10"/>
      <c r="G14" s="8"/>
      <c r="H14" s="8"/>
      <c r="I14" s="8"/>
      <c r="J14" s="8"/>
      <c r="K14" s="8"/>
      <c r="L14" s="8"/>
      <c r="M14" s="8"/>
      <c r="N14" s="8"/>
    </row>
    <row r="15" spans="2:14" ht="15.75" thickBot="1" x14ac:dyDescent="0.3">
      <c r="B15" s="11"/>
      <c r="C15" s="10"/>
      <c r="D15" s="10"/>
      <c r="E15" s="10"/>
      <c r="F15" s="10"/>
      <c r="G15" s="8"/>
      <c r="H15" s="8"/>
      <c r="I15" s="8"/>
      <c r="J15" s="8"/>
      <c r="K15" s="8"/>
      <c r="L15" s="8"/>
      <c r="M15" s="8"/>
      <c r="N15" s="8"/>
    </row>
    <row r="16" spans="2:14" ht="15.75" thickBot="1" x14ac:dyDescent="0.3">
      <c r="B16" s="11"/>
      <c r="C16" s="10"/>
      <c r="D16" s="10"/>
      <c r="E16" s="10"/>
      <c r="F16" s="10"/>
      <c r="G16" s="8"/>
      <c r="H16" s="8"/>
      <c r="I16" s="8"/>
      <c r="J16" s="8"/>
      <c r="K16" s="8"/>
      <c r="L16" s="8"/>
      <c r="M16" s="8"/>
      <c r="N16" s="8"/>
    </row>
    <row r="17" spans="2:14" ht="15.75" thickBot="1" x14ac:dyDescent="0.3">
      <c r="B17" s="11"/>
      <c r="C17" s="10"/>
      <c r="D17" s="10"/>
      <c r="E17" s="10"/>
      <c r="F17" s="10"/>
      <c r="G17" s="8"/>
      <c r="H17" s="8"/>
      <c r="I17" s="8"/>
      <c r="J17" s="8"/>
      <c r="K17" s="8"/>
      <c r="L17" s="8"/>
      <c r="M17" s="8"/>
      <c r="N17" s="8"/>
    </row>
    <row r="18" spans="2:14" ht="15.75" thickBot="1" x14ac:dyDescent="0.3">
      <c r="B18" s="11"/>
      <c r="C18" s="10"/>
      <c r="D18" s="10"/>
      <c r="E18" s="10"/>
      <c r="F18" s="10"/>
      <c r="G18" s="8"/>
      <c r="H18" s="8"/>
      <c r="I18" s="8"/>
      <c r="J18" s="8"/>
      <c r="K18" s="8"/>
      <c r="L18" s="8"/>
      <c r="M18" s="8"/>
      <c r="N18" s="8"/>
    </row>
    <row r="19" spans="2:14" ht="15.75" thickBot="1" x14ac:dyDescent="0.3">
      <c r="B19" s="11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ht="15.75" thickBot="1" x14ac:dyDescent="0.3">
      <c r="B20" s="11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2:14" ht="15.75" thickBot="1" x14ac:dyDescent="0.3">
      <c r="B21" s="11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.75" thickBot="1" x14ac:dyDescent="0.3">
      <c r="B22" s="11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4" ht="15.75" thickBot="1" x14ac:dyDescent="0.3">
      <c r="B23" s="11"/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ht="15.75" thickBot="1" x14ac:dyDescent="0.3">
      <c r="B24" s="11"/>
      <c r="C24" s="1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4" ht="15.75" thickBot="1" x14ac:dyDescent="0.3">
      <c r="B25" s="11"/>
      <c r="C25" s="1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2:14" ht="15.75" thickBot="1" x14ac:dyDescent="0.3">
      <c r="B26" s="11"/>
      <c r="C26" s="1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conditionalFormatting sqref="C3:N26">
    <cfRule type="expression" dxfId="2" priority="1">
      <formula>ISNOTFORMULA(C3)</formula>
    </cfRule>
    <cfRule type="expression" dxfId="1" priority="2">
      <formula>_xlfn.ISFORMULA(C3)</formula>
    </cfRule>
    <cfRule type="containsBlanks" dxfId="0" priority="3">
      <formula>LEN(TRIM(C3))=0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Constraints</vt:lpstr>
      <vt:lpstr>Aero_Constraints</vt:lpstr>
      <vt:lpstr>Requirements</vt:lpstr>
      <vt:lpstr>Thrust_Constraints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2026-03-04T10:42:54Z</dcterms:created>
  <dcterms:modified xsi:type="dcterms:W3CDTF">2026-05-08T13:28:58Z</dcterms:modified>
</cp:coreProperties>
</file>