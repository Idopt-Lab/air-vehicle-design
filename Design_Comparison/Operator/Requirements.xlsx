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Tasks\Spring_2026\MATLAB\Design_Comparison\Operator\"/>
    </mc:Choice>
  </mc:AlternateContent>
  <xr:revisionPtr revIDLastSave="0" documentId="13_ncr:1_{601BCC4F-C0BF-4022-B1CA-2531BA4C66E1}" xr6:coauthVersionLast="47" xr6:coauthVersionMax="47" xr10:uidLastSave="{00000000-0000-0000-0000-000000000000}"/>
  <bookViews>
    <workbookView xWindow="22932" yWindow="384" windowWidth="23256" windowHeight="12720" activeTab="1" xr2:uid="{A16C2A72-36AD-490A-A958-AABD199434F3}"/>
  </bookViews>
  <sheets>
    <sheet name="INFORMATION" sheetId="1" r:id="rId1"/>
    <sheet name="Requiremen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</calcChain>
</file>

<file path=xl/sharedStrings.xml><?xml version="1.0" encoding="utf-8"?>
<sst xmlns="http://schemas.openxmlformats.org/spreadsheetml/2006/main" count="20" uniqueCount="19">
  <si>
    <t>Altitude (ft)</t>
  </si>
  <si>
    <t>Max Mach</t>
  </si>
  <si>
    <t>Cruise</t>
  </si>
  <si>
    <t>Max Alt</t>
  </si>
  <si>
    <t>Combat Turn 1</t>
  </si>
  <si>
    <t>Combat Turn 2</t>
  </si>
  <si>
    <t>PS</t>
  </si>
  <si>
    <t>Mach</t>
  </si>
  <si>
    <t>n</t>
  </si>
  <si>
    <t>AB</t>
  </si>
  <si>
    <t>Takeoff</t>
  </si>
  <si>
    <t>Landing</t>
  </si>
  <si>
    <t>Time (hrs)</t>
  </si>
  <si>
    <t>Loiter</t>
  </si>
  <si>
    <t>Distance (ft)</t>
  </si>
  <si>
    <t>Weight (lbs)</t>
  </si>
  <si>
    <t>Payload</t>
  </si>
  <si>
    <t>So you can just put whatever requirement you want in the top/side, then let the script load it into MATLLAB.</t>
  </si>
  <si>
    <t>Maintenance (per flight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</si>
</sst>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0563-F6A3-46C3-994F-DB9DA4287A29}">
  <dimension ref="B5"/>
  <sheetViews>
    <sheetView workbookViewId="0">
      <selection activeCell="C5" sqref="C5"/>
    </sheetView>
  </sheetViews>
  <sheetFormatPr defaultRowHeight="15" x14ac:dyDescent="0.25"/>
  <sheetData>
    <row r="5" spans="2:2" x14ac:dyDescent="0.25">
      <c r="B5" s="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F3C-9DF3-4A3B-A79B-116DE712CC4A}">
  <dimension ref="C2:O27"/>
  <sheetViews>
    <sheetView tabSelected="1" workbookViewId="0">
      <selection activeCell="P4" sqref="P4"/>
    </sheetView>
  </sheetViews>
  <sheetFormatPr defaultRowHeight="15" x14ac:dyDescent="0.25"/>
  <cols>
    <col min="5" max="5" width="11.85546875" bestFit="1" customWidth="1"/>
    <col min="14" max="14" width="19.7109375" customWidth="1"/>
  </cols>
  <sheetData>
    <row r="2" spans="3:15" ht="15.75" thickBot="1" x14ac:dyDescent="0.3"/>
    <row r="3" spans="3:15" ht="43.5" customHeight="1" thickBot="1" x14ac:dyDescent="0.3">
      <c r="C3" s="1"/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10</v>
      </c>
      <c r="K3" s="3" t="s">
        <v>11</v>
      </c>
      <c r="L3" s="3" t="s">
        <v>13</v>
      </c>
      <c r="M3" s="3" t="s">
        <v>16</v>
      </c>
      <c r="N3" s="3" t="s">
        <v>18</v>
      </c>
      <c r="O3" s="4"/>
    </row>
    <row r="4" spans="3:15" ht="30" x14ac:dyDescent="0.25">
      <c r="C4" s="5" t="s">
        <v>0</v>
      </c>
      <c r="D4" s="6">
        <v>36000</v>
      </c>
      <c r="E4" s="10">
        <v>36000</v>
      </c>
      <c r="F4" s="10">
        <v>50000</v>
      </c>
      <c r="G4" s="10">
        <v>20000</v>
      </c>
      <c r="H4" s="10">
        <v>36000</v>
      </c>
      <c r="I4" s="10">
        <v>10000</v>
      </c>
      <c r="J4" s="10">
        <v>0</v>
      </c>
      <c r="K4" s="8">
        <v>0</v>
      </c>
      <c r="L4" s="7"/>
      <c r="M4" s="7"/>
      <c r="N4" s="8"/>
      <c r="O4" s="8"/>
    </row>
    <row r="5" spans="3:15" x14ac:dyDescent="0.25">
      <c r="C5" s="9" t="s">
        <v>7</v>
      </c>
      <c r="D5" s="10">
        <v>1.6</v>
      </c>
      <c r="E5" s="10">
        <v>0.87</v>
      </c>
      <c r="F5" s="10">
        <v>0.87</v>
      </c>
      <c r="G5" s="10">
        <v>0.87</v>
      </c>
      <c r="H5" s="10">
        <v>1.4</v>
      </c>
      <c r="I5" s="10">
        <v>0.87</v>
      </c>
      <c r="J5" s="10"/>
      <c r="K5" s="8"/>
      <c r="L5" s="8"/>
      <c r="M5" s="8"/>
      <c r="N5" s="8"/>
      <c r="O5" s="8"/>
    </row>
    <row r="6" spans="3:15" x14ac:dyDescent="0.25">
      <c r="C6" s="9" t="s">
        <v>8</v>
      </c>
      <c r="D6" s="10">
        <v>1</v>
      </c>
      <c r="E6" s="10">
        <v>1</v>
      </c>
      <c r="F6" s="10">
        <v>1</v>
      </c>
      <c r="G6" s="10">
        <v>4.5</v>
      </c>
      <c r="H6" s="8">
        <v>1.4</v>
      </c>
      <c r="I6" s="8">
        <v>1</v>
      </c>
      <c r="J6" s="8"/>
      <c r="K6" s="8"/>
      <c r="L6" s="8"/>
      <c r="M6" s="8"/>
      <c r="N6" s="8"/>
      <c r="O6" s="8"/>
    </row>
    <row r="7" spans="3:15" x14ac:dyDescent="0.25">
      <c r="C7" s="9" t="s">
        <v>9</v>
      </c>
      <c r="D7" s="10">
        <v>100</v>
      </c>
      <c r="E7" s="10">
        <v>0</v>
      </c>
      <c r="F7" s="10">
        <v>100</v>
      </c>
      <c r="G7" s="10">
        <v>100</v>
      </c>
      <c r="H7" s="8">
        <v>100</v>
      </c>
      <c r="I7" s="8">
        <v>100</v>
      </c>
      <c r="J7" s="8"/>
      <c r="K7" s="8"/>
      <c r="L7" s="8"/>
      <c r="M7" s="8"/>
      <c r="N7" s="8"/>
      <c r="O7" s="8"/>
    </row>
    <row r="8" spans="3:15" ht="15.75" thickBot="1" x14ac:dyDescent="0.3">
      <c r="C8" s="11" t="s">
        <v>6</v>
      </c>
      <c r="D8" s="10"/>
      <c r="E8" s="10"/>
      <c r="F8" s="10"/>
      <c r="G8" s="10"/>
      <c r="H8" s="8"/>
      <c r="I8" s="8">
        <v>500</v>
      </c>
      <c r="J8" s="8"/>
      <c r="K8" s="8"/>
      <c r="L8" s="8"/>
      <c r="M8" s="8"/>
      <c r="N8" s="8"/>
      <c r="O8" s="8"/>
    </row>
    <row r="9" spans="3:15" ht="30.75" thickBot="1" x14ac:dyDescent="0.3">
      <c r="C9" s="11" t="s">
        <v>14</v>
      </c>
      <c r="D9" s="10"/>
      <c r="E9" s="10">
        <f>800*6076.11549</f>
        <v>4860892.392</v>
      </c>
      <c r="F9" s="10"/>
      <c r="G9" s="10"/>
      <c r="H9" s="8"/>
      <c r="I9" s="8"/>
      <c r="J9" s="8">
        <v>7999</v>
      </c>
      <c r="K9" s="8">
        <v>7999</v>
      </c>
      <c r="L9" s="8"/>
      <c r="M9" s="8"/>
      <c r="N9" s="8"/>
      <c r="O9" s="8"/>
    </row>
    <row r="10" spans="3:15" ht="30.75" thickBot="1" x14ac:dyDescent="0.3">
      <c r="C10" s="11" t="s">
        <v>12</v>
      </c>
      <c r="D10" s="10"/>
      <c r="E10" s="10"/>
      <c r="F10" s="10"/>
      <c r="G10" s="10"/>
      <c r="H10" s="8"/>
      <c r="I10" s="8"/>
      <c r="J10" s="8"/>
      <c r="K10" s="8"/>
      <c r="L10" s="8">
        <v>2</v>
      </c>
      <c r="M10" s="8"/>
      <c r="N10" s="8">
        <v>10</v>
      </c>
      <c r="O10" s="8"/>
    </row>
    <row r="11" spans="3:15" ht="30.75" thickBot="1" x14ac:dyDescent="0.3">
      <c r="C11" s="11" t="s">
        <v>15</v>
      </c>
      <c r="D11" s="10"/>
      <c r="E11" s="10"/>
      <c r="F11" s="10"/>
      <c r="G11" s="10"/>
      <c r="H11" s="8"/>
      <c r="I11" s="8"/>
      <c r="J11" s="8"/>
      <c r="K11" s="8"/>
      <c r="L11" s="8"/>
      <c r="M11" s="8">
        <v>5100</v>
      </c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2" priority="1">
      <formula>ISNOTFORMULA(D4)</formula>
    </cfRule>
    <cfRule type="expression" dxfId="1" priority="2">
      <formula>_xlfn.ISFORMULA(D4)</formula>
    </cfRule>
    <cfRule type="containsBlanks" dxfId="0" priority="3">
      <formula>LEN(TRIM(D4))=0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2026-03-04T10:42:54Z</dcterms:created>
  <dcterms:modified xsi:type="dcterms:W3CDTF">2026-03-25T11:39:37Z</dcterms:modified>
</cp:coreProperties>
</file>