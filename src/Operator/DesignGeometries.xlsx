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 Freeman\Desktop\Academics\VRMastersProgram\Tasks\Spring_2026\MATLAB\Level_IV_Fidelity\Operator\"/>
    </mc:Choice>
  </mc:AlternateContent>
  <xr:revisionPtr revIDLastSave="0" documentId="13_ncr:1_{9F7348FE-237D-4693-B591-3DA3F1924F33}" xr6:coauthVersionLast="47" xr6:coauthVersionMax="47" xr10:uidLastSave="{00000000-0000-0000-0000-000000000000}"/>
  <bookViews>
    <workbookView xWindow="25236" yWindow="1332" windowWidth="21600" windowHeight="11412" activeTab="1" xr2:uid="{5F5D00AF-8D4A-4BC4-9FDA-F17071C88D94}"/>
  </bookViews>
  <sheets>
    <sheet name="Sheet1" sheetId="1" r:id="rId1"/>
    <sheet name="F-16A Block 50" sheetId="2" r:id="rId2"/>
    <sheet name="Sheet3" sheetId="4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2" l="1"/>
  <c r="E24" i="2"/>
  <c r="F24" i="2"/>
  <c r="C24" i="2"/>
  <c r="F17" i="2"/>
  <c r="F16" i="2"/>
  <c r="E17" i="2"/>
  <c r="E16" i="2"/>
  <c r="D16" i="2"/>
  <c r="F15" i="2"/>
  <c r="F14" i="2"/>
  <c r="F18" i="2"/>
  <c r="F19" i="2"/>
  <c r="E14" i="2"/>
  <c r="D14" i="2"/>
  <c r="E18" i="2"/>
  <c r="D18" i="2"/>
  <c r="D21" i="2" s="1"/>
  <c r="D19" i="2"/>
  <c r="E19" i="2"/>
  <c r="D20" i="2"/>
  <c r="C19" i="2"/>
  <c r="C20" i="2"/>
  <c r="C21" i="2"/>
  <c r="C22" i="2"/>
  <c r="C18" i="2"/>
  <c r="C16" i="2"/>
  <c r="C23" i="2"/>
  <c r="C142" i="4"/>
  <c r="C141" i="4"/>
  <c r="D137" i="4"/>
  <c r="C137" i="4"/>
  <c r="F135" i="4"/>
  <c r="F134" i="4"/>
  <c r="B68" i="4"/>
  <c r="C68" i="4" s="1"/>
  <c r="D68" i="4" s="1"/>
  <c r="C66" i="4"/>
  <c r="H68" i="4" s="1"/>
  <c r="C54" i="4"/>
  <c r="C46" i="4"/>
  <c r="D46" i="4" s="1"/>
  <c r="E42" i="4"/>
  <c r="F40" i="4"/>
  <c r="F38" i="4"/>
  <c r="D38" i="4"/>
  <c r="F37" i="4"/>
  <c r="D37" i="4"/>
  <c r="F36" i="4"/>
  <c r="D36" i="4"/>
  <c r="F35" i="4"/>
  <c r="D35" i="4"/>
  <c r="F34" i="4"/>
  <c r="D34" i="4"/>
  <c r="F33" i="4"/>
  <c r="F32" i="4"/>
  <c r="D32" i="4"/>
  <c r="D42" i="4" s="1"/>
  <c r="F31" i="4"/>
  <c r="F30" i="4"/>
  <c r="F29" i="4"/>
  <c r="F42" i="4" s="1"/>
  <c r="G28" i="4"/>
  <c r="F28" i="4"/>
  <c r="D9" i="4"/>
  <c r="L9" i="4" s="1"/>
  <c r="I68" i="4" s="1"/>
  <c r="P6" i="4"/>
  <c r="Q6" i="4" s="1"/>
  <c r="N6" i="4"/>
  <c r="M6" i="4"/>
  <c r="L6" i="4"/>
  <c r="O6" i="4" s="1"/>
  <c r="Y5" i="4"/>
  <c r="X5" i="4"/>
  <c r="M5" i="4"/>
  <c r="L5" i="4"/>
  <c r="P5" i="4" s="1"/>
  <c r="Q5" i="4" s="1"/>
  <c r="M4" i="4"/>
  <c r="L4" i="4"/>
  <c r="O4" i="4" s="1"/>
  <c r="F23" i="2" l="1"/>
  <c r="F22" i="2"/>
  <c r="F21" i="2"/>
  <c r="F20" i="2"/>
  <c r="D23" i="2"/>
  <c r="E23" i="2"/>
  <c r="E22" i="2"/>
  <c r="D22" i="2"/>
  <c r="E21" i="2"/>
  <c r="E20" i="2"/>
  <c r="B69" i="4"/>
  <c r="P4" i="4"/>
  <c r="O5" i="4"/>
  <c r="N5" i="4"/>
  <c r="N4" i="4"/>
  <c r="P152" i="4" l="1"/>
  <c r="C143" i="4"/>
  <c r="C134" i="4"/>
  <c r="Q4" i="4"/>
  <c r="B70" i="4"/>
  <c r="C69" i="4"/>
  <c r="D69" i="4" s="1"/>
  <c r="C70" i="4" l="1"/>
  <c r="D70" i="4" s="1"/>
  <c r="B71" i="4"/>
  <c r="B72" i="4" l="1"/>
  <c r="C71" i="4"/>
  <c r="D71" i="4" s="1"/>
  <c r="B73" i="4" l="1"/>
  <c r="C72" i="4"/>
  <c r="D72" i="4" s="1"/>
  <c r="B74" i="4" l="1"/>
  <c r="C73" i="4"/>
  <c r="D73" i="4" s="1"/>
  <c r="B75" i="4" l="1"/>
  <c r="C74" i="4"/>
  <c r="D74" i="4" s="1"/>
  <c r="C75" i="4" l="1"/>
  <c r="D75" i="4" s="1"/>
  <c r="B76" i="4"/>
  <c r="B77" i="4" l="1"/>
  <c r="C76" i="4"/>
  <c r="D76" i="4" s="1"/>
  <c r="C77" i="4" l="1"/>
  <c r="D77" i="4" s="1"/>
  <c r="B78" i="4"/>
  <c r="B79" i="4" l="1"/>
  <c r="C78" i="4"/>
  <c r="D78" i="4" s="1"/>
  <c r="B80" i="4" l="1"/>
  <c r="C79" i="4"/>
  <c r="D79" i="4" s="1"/>
  <c r="C80" i="4" l="1"/>
  <c r="D80" i="4" s="1"/>
  <c r="B81" i="4"/>
  <c r="B82" i="4" l="1"/>
  <c r="C81" i="4"/>
  <c r="D81" i="4" s="1"/>
  <c r="C82" i="4" l="1"/>
  <c r="D82" i="4" s="1"/>
  <c r="B83" i="4"/>
  <c r="B84" i="4" l="1"/>
  <c r="C83" i="4"/>
  <c r="D83" i="4" s="1"/>
  <c r="B85" i="4" l="1"/>
  <c r="C84" i="4"/>
  <c r="D84" i="4" s="1"/>
  <c r="B86" i="4" l="1"/>
  <c r="C85" i="4"/>
  <c r="D85" i="4" s="1"/>
  <c r="B87" i="4" l="1"/>
  <c r="C86" i="4"/>
  <c r="D86" i="4" s="1"/>
  <c r="C87" i="4" l="1"/>
  <c r="D87" i="4" s="1"/>
  <c r="B88" i="4"/>
  <c r="B89" i="4" l="1"/>
  <c r="C88" i="4"/>
  <c r="D88" i="4" s="1"/>
  <c r="C89" i="4" l="1"/>
  <c r="D89" i="4" s="1"/>
  <c r="B90" i="4"/>
  <c r="B91" i="4" l="1"/>
  <c r="C90" i="4"/>
  <c r="D90" i="4" s="1"/>
  <c r="B92" i="4" l="1"/>
  <c r="C91" i="4"/>
  <c r="D91" i="4" s="1"/>
  <c r="C92" i="4" l="1"/>
  <c r="D92" i="4" s="1"/>
  <c r="B93" i="4"/>
  <c r="B94" i="4" l="1"/>
  <c r="C93" i="4"/>
  <c r="D93" i="4" s="1"/>
  <c r="C94" i="4" l="1"/>
  <c r="D94" i="4" s="1"/>
  <c r="B95" i="4"/>
  <c r="B96" i="4" l="1"/>
  <c r="C95" i="4"/>
  <c r="D95" i="4" s="1"/>
  <c r="B97" i="4" l="1"/>
  <c r="C96" i="4"/>
  <c r="D96" i="4" s="1"/>
  <c r="B98" i="4" l="1"/>
  <c r="C97" i="4"/>
  <c r="D97" i="4" s="1"/>
  <c r="B99" i="4" l="1"/>
  <c r="C98" i="4"/>
  <c r="D98" i="4" s="1"/>
  <c r="E98" i="4" l="1"/>
  <c r="F98" i="4" s="1"/>
  <c r="E68" i="4"/>
  <c r="F68" i="4" s="1"/>
  <c r="E69" i="4"/>
  <c r="F69" i="4" s="1"/>
  <c r="E70" i="4"/>
  <c r="F70" i="4" s="1"/>
  <c r="E71" i="4"/>
  <c r="F71" i="4" s="1"/>
  <c r="E72" i="4"/>
  <c r="F72" i="4" s="1"/>
  <c r="E73" i="4"/>
  <c r="F73" i="4" s="1"/>
  <c r="E74" i="4"/>
  <c r="F74" i="4" s="1"/>
  <c r="E75" i="4"/>
  <c r="F75" i="4" s="1"/>
  <c r="E76" i="4"/>
  <c r="F76" i="4" s="1"/>
  <c r="E77" i="4"/>
  <c r="F77" i="4" s="1"/>
  <c r="E78" i="4"/>
  <c r="F78" i="4" s="1"/>
  <c r="E79" i="4"/>
  <c r="F79" i="4" s="1"/>
  <c r="E80" i="4"/>
  <c r="F80" i="4" s="1"/>
  <c r="E81" i="4"/>
  <c r="F81" i="4" s="1"/>
  <c r="E82" i="4"/>
  <c r="F82" i="4" s="1"/>
  <c r="E83" i="4"/>
  <c r="F83" i="4" s="1"/>
  <c r="E84" i="4"/>
  <c r="F84" i="4" s="1"/>
  <c r="E85" i="4"/>
  <c r="F85" i="4" s="1"/>
  <c r="E86" i="4"/>
  <c r="F86" i="4" s="1"/>
  <c r="E87" i="4"/>
  <c r="F87" i="4" s="1"/>
  <c r="E88" i="4"/>
  <c r="F88" i="4" s="1"/>
  <c r="E89" i="4"/>
  <c r="F89" i="4" s="1"/>
  <c r="E90" i="4"/>
  <c r="F90" i="4" s="1"/>
  <c r="E91" i="4"/>
  <c r="F91" i="4" s="1"/>
  <c r="E92" i="4"/>
  <c r="F92" i="4" s="1"/>
  <c r="E93" i="4"/>
  <c r="F93" i="4" s="1"/>
  <c r="E94" i="4"/>
  <c r="F94" i="4" s="1"/>
  <c r="E95" i="4"/>
  <c r="F95" i="4" s="1"/>
  <c r="E96" i="4"/>
  <c r="F96" i="4" s="1"/>
  <c r="C99" i="4"/>
  <c r="D99" i="4" s="1"/>
  <c r="E99" i="4" s="1"/>
  <c r="F99" i="4" s="1"/>
  <c r="B100" i="4"/>
  <c r="E97" i="4"/>
  <c r="F97" i="4" s="1"/>
  <c r="B101" i="4" l="1"/>
  <c r="C100" i="4"/>
  <c r="D100" i="4" s="1"/>
  <c r="E100" i="4" s="1"/>
  <c r="F100" i="4" s="1"/>
  <c r="C101" i="4" l="1"/>
  <c r="D101" i="4" s="1"/>
  <c r="E101" i="4" s="1"/>
  <c r="F101" i="4" s="1"/>
  <c r="B102" i="4"/>
  <c r="B103" i="4" l="1"/>
  <c r="C102" i="4"/>
  <c r="D102" i="4" s="1"/>
  <c r="E102" i="4" s="1"/>
  <c r="F102" i="4" s="1"/>
  <c r="B104" i="4" l="1"/>
  <c r="C103" i="4"/>
  <c r="D103" i="4" s="1"/>
  <c r="E103" i="4" s="1"/>
  <c r="F103" i="4" s="1"/>
  <c r="C104" i="4" l="1"/>
  <c r="D104" i="4" s="1"/>
  <c r="E104" i="4" s="1"/>
  <c r="F104" i="4" s="1"/>
  <c r="B105" i="4"/>
  <c r="B106" i="4" l="1"/>
  <c r="C105" i="4"/>
  <c r="D105" i="4" s="1"/>
  <c r="E105" i="4" s="1"/>
  <c r="F105" i="4" s="1"/>
  <c r="C106" i="4" l="1"/>
  <c r="D106" i="4" s="1"/>
  <c r="E106" i="4" s="1"/>
  <c r="F106" i="4" s="1"/>
  <c r="B107" i="4"/>
  <c r="B108" i="4" l="1"/>
  <c r="C107" i="4"/>
  <c r="D107" i="4" s="1"/>
  <c r="E107" i="4" s="1"/>
  <c r="F107" i="4" s="1"/>
  <c r="B109" i="4" l="1"/>
  <c r="C108" i="4"/>
  <c r="D108" i="4" s="1"/>
  <c r="E108" i="4" s="1"/>
  <c r="F108" i="4" s="1"/>
  <c r="B110" i="4" l="1"/>
  <c r="C109" i="4"/>
  <c r="D109" i="4" s="1"/>
  <c r="E109" i="4" s="1"/>
  <c r="F109" i="4" s="1"/>
  <c r="B111" i="4" l="1"/>
  <c r="C110" i="4"/>
  <c r="D110" i="4" s="1"/>
  <c r="E110" i="4" s="1"/>
  <c r="F110" i="4" s="1"/>
  <c r="C111" i="4" l="1"/>
  <c r="D111" i="4" s="1"/>
  <c r="E111" i="4" s="1"/>
  <c r="F111" i="4" s="1"/>
  <c r="B112" i="4"/>
  <c r="B113" i="4" l="1"/>
  <c r="C112" i="4"/>
  <c r="D112" i="4" s="1"/>
  <c r="E112" i="4" s="1"/>
  <c r="F112" i="4" s="1"/>
  <c r="C113" i="4" l="1"/>
  <c r="D113" i="4" s="1"/>
  <c r="E113" i="4" s="1"/>
  <c r="F113" i="4" s="1"/>
  <c r="B114" i="4"/>
  <c r="B115" i="4" l="1"/>
  <c r="C114" i="4"/>
  <c r="D114" i="4" s="1"/>
  <c r="E114" i="4" s="1"/>
  <c r="F114" i="4" s="1"/>
  <c r="B116" i="4" l="1"/>
  <c r="C115" i="4"/>
  <c r="D115" i="4" s="1"/>
  <c r="E115" i="4" s="1"/>
  <c r="F115" i="4" s="1"/>
  <c r="C116" i="4" l="1"/>
  <c r="D116" i="4" s="1"/>
  <c r="E116" i="4" s="1"/>
  <c r="F116" i="4" s="1"/>
  <c r="B117" i="4"/>
  <c r="B118" i="4" l="1"/>
  <c r="C117" i="4"/>
  <c r="D117" i="4" s="1"/>
  <c r="E117" i="4" s="1"/>
  <c r="F117" i="4" s="1"/>
  <c r="C118" i="4" l="1"/>
  <c r="D118" i="4" s="1"/>
  <c r="E118" i="4" s="1"/>
  <c r="F118" i="4" s="1"/>
  <c r="B119" i="4"/>
  <c r="B120" i="4" l="1"/>
  <c r="C119" i="4"/>
  <c r="D119" i="4" s="1"/>
  <c r="E119" i="4" s="1"/>
  <c r="F119" i="4" s="1"/>
  <c r="B121" i="4" l="1"/>
  <c r="C120" i="4"/>
  <c r="D120" i="4" s="1"/>
  <c r="E120" i="4" s="1"/>
  <c r="F120" i="4" s="1"/>
  <c r="B122" i="4" l="1"/>
  <c r="C121" i="4"/>
  <c r="D121" i="4" s="1"/>
  <c r="E121" i="4" s="1"/>
  <c r="F121" i="4" s="1"/>
  <c r="B123" i="4" l="1"/>
  <c r="C122" i="4"/>
  <c r="D122" i="4" s="1"/>
  <c r="E122" i="4" s="1"/>
  <c r="F122" i="4" s="1"/>
  <c r="C123" i="4" l="1"/>
  <c r="D123" i="4" s="1"/>
  <c r="E123" i="4" s="1"/>
  <c r="F123" i="4" s="1"/>
  <c r="B124" i="4"/>
  <c r="B125" i="4" l="1"/>
  <c r="C124" i="4"/>
  <c r="D124" i="4" s="1"/>
  <c r="E124" i="4" s="1"/>
  <c r="F124" i="4" s="1"/>
  <c r="C125" i="4" l="1"/>
  <c r="D125" i="4" s="1"/>
  <c r="E125" i="4" s="1"/>
  <c r="F125" i="4" s="1"/>
  <c r="B126" i="4"/>
  <c r="B127" i="4" l="1"/>
  <c r="C126" i="4"/>
  <c r="D126" i="4" s="1"/>
  <c r="E126" i="4" s="1"/>
  <c r="F126" i="4" s="1"/>
  <c r="B128" i="4" l="1"/>
  <c r="C128" i="4" s="1"/>
  <c r="D128" i="4" s="1"/>
  <c r="E128" i="4" s="1"/>
  <c r="F128" i="4" s="1"/>
  <c r="C127" i="4"/>
  <c r="D127" i="4" s="1"/>
  <c r="E127" i="4" s="1"/>
  <c r="F127" i="4" s="1"/>
</calcChain>
</file>

<file path=xl/sharedStrings.xml><?xml version="1.0" encoding="utf-8"?>
<sst xmlns="http://schemas.openxmlformats.org/spreadsheetml/2006/main" count="216" uniqueCount="178">
  <si>
    <t>THIS IS FOR THE END USER</t>
  </si>
  <si>
    <t>SET UP YOUR DESIGN GEOMETRY HERE</t>
  </si>
  <si>
    <t>Calculated values</t>
  </si>
  <si>
    <t>The drag is proportional to the square of the volume</t>
  </si>
  <si>
    <t>DESIRED CHARACTERISTICS</t>
  </si>
  <si>
    <t>Surface</t>
  </si>
  <si>
    <t>Wingspan</t>
  </si>
  <si>
    <t>Root chord length</t>
  </si>
  <si>
    <t>Tip chord length</t>
  </si>
  <si>
    <t>LE Sweep (deg)</t>
  </si>
  <si>
    <t>Dihedral (deg)</t>
  </si>
  <si>
    <t>For V-tails, project the planform area into the horizontal plane</t>
  </si>
  <si>
    <t>Taper ratio</t>
  </si>
  <si>
    <t>Average chord</t>
  </si>
  <si>
    <t>Mean geometric chord</t>
  </si>
  <si>
    <t>Angle of quarter-chord line (rad)</t>
  </si>
  <si>
    <t>Planform area (ft^2)</t>
  </si>
  <si>
    <t>Aspect ratio</t>
  </si>
  <si>
    <t>Value (units)</t>
  </si>
  <si>
    <t>Just a comparator</t>
  </si>
  <si>
    <t>Main wings</t>
  </si>
  <si>
    <t>Characteristic</t>
  </si>
  <si>
    <t>Foxhound AR</t>
  </si>
  <si>
    <t>Foxhound W/S (lbs/ft^2)</t>
  </si>
  <si>
    <t>Foxhound wing area (ft^2)</t>
  </si>
  <si>
    <t>Horizontal stabilizers</t>
  </si>
  <si>
    <t>Takeoff distance (ft)</t>
  </si>
  <si>
    <t>Vertical stabilizers</t>
  </si>
  <si>
    <t>Landing distance (ft)</t>
  </si>
  <si>
    <t>Service ceiling (ft)</t>
  </si>
  <si>
    <t>Fuselage</t>
  </si>
  <si>
    <t>Length (ft)</t>
  </si>
  <si>
    <t>Max width/radius (ft)</t>
  </si>
  <si>
    <t>Max cs area (ft^2)</t>
  </si>
  <si>
    <t>Max speed (Mach)</t>
  </si>
  <si>
    <t>Time to climb 35k ft from takeoff (sec)</t>
  </si>
  <si>
    <t>Takeoff wing loading (lbs/ft^2)</t>
  </si>
  <si>
    <t>ENGINES</t>
  </si>
  <si>
    <t>Approach angle (deg)</t>
  </si>
  <si>
    <t>Chosen engine</t>
  </si>
  <si>
    <t>Weight</t>
  </si>
  <si>
    <t>Quantity</t>
  </si>
  <si>
    <t>Available engines</t>
  </si>
  <si>
    <t>Just ignore this</t>
  </si>
  <si>
    <t>F110-GE-129</t>
  </si>
  <si>
    <t>EJ200</t>
  </si>
  <si>
    <t>F100-PW-229</t>
  </si>
  <si>
    <t>F404-GE-402</t>
  </si>
  <si>
    <t>FUEL TANKS</t>
  </si>
  <si>
    <t>Name</t>
  </si>
  <si>
    <t>F110-GE-132</t>
  </si>
  <si>
    <t>Main</t>
  </si>
  <si>
    <t>F414-GE</t>
  </si>
  <si>
    <t>THIS SATISFIES THE RFP</t>
  </si>
  <si>
    <t>AIRFOIL</t>
  </si>
  <si>
    <t>t/c</t>
  </si>
  <si>
    <t>clmax</t>
  </si>
  <si>
    <t>alpha L=0</t>
  </si>
  <si>
    <t>cl alpha</t>
  </si>
  <si>
    <t>Root</t>
  </si>
  <si>
    <t>NACA 65A109</t>
  </si>
  <si>
    <t>Tip</t>
  </si>
  <si>
    <t>NACA 65A003.5</t>
  </si>
  <si>
    <t>AVIONICS</t>
  </si>
  <si>
    <t>From Nicolai, p 211</t>
  </si>
  <si>
    <t>Model designation</t>
  </si>
  <si>
    <t>Volume (in^3)</t>
  </si>
  <si>
    <t>Weight (lbs)</t>
  </si>
  <si>
    <t>Power draw (Watts)</t>
  </si>
  <si>
    <t>I found an estimate for the power draw by solving the weight estimation equation for "pow"</t>
  </si>
  <si>
    <t>UHF communications transmit, receive)</t>
  </si>
  <si>
    <t>ARC-150</t>
  </si>
  <si>
    <t>Air-to-ground IFF</t>
  </si>
  <si>
    <t>APX-92</t>
  </si>
  <si>
    <t>TACAN</t>
  </si>
  <si>
    <t>ARN-100</t>
  </si>
  <si>
    <t>INS</t>
  </si>
  <si>
    <t>LN-30</t>
  </si>
  <si>
    <t>Autopilot system</t>
  </si>
  <si>
    <t>-</t>
  </si>
  <si>
    <t>Assumed computer equation</t>
  </si>
  <si>
    <t>Air data computer</t>
  </si>
  <si>
    <t>AXC-710</t>
  </si>
  <si>
    <t>ECM equipment</t>
  </si>
  <si>
    <t>ALQ-103</t>
  </si>
  <si>
    <t>Countermeasures dispensing set I</t>
  </si>
  <si>
    <t>ALE-28</t>
  </si>
  <si>
    <t>Assumed transmitter equation</t>
  </si>
  <si>
    <t xml:space="preserve">Countermeasures receiving set </t>
  </si>
  <si>
    <t>ALR-23</t>
  </si>
  <si>
    <t>Assumed receiver equation</t>
  </si>
  <si>
    <t>Radar altimeter</t>
  </si>
  <si>
    <t>APN-167</t>
  </si>
  <si>
    <t>Attack radar</t>
  </si>
  <si>
    <t>APQ-113</t>
  </si>
  <si>
    <t>Gun camera</t>
  </si>
  <si>
    <t>16-mm Telford</t>
  </si>
  <si>
    <t>flight data recorder</t>
  </si>
  <si>
    <t>Volume (ft^3)</t>
  </si>
  <si>
    <t>Total</t>
  </si>
  <si>
    <t>LOCATIONS</t>
  </si>
  <si>
    <t>x/L (coeff)</t>
  </si>
  <si>
    <t>x (ft)</t>
  </si>
  <si>
    <t>Distances are measured from origin, which is at the NOSE</t>
  </si>
  <si>
    <t>All (Assumed)</t>
  </si>
  <si>
    <t>X = Nose -&gt; tail</t>
  </si>
  <si>
    <t>Y = Nose -&gt; Starboard</t>
  </si>
  <si>
    <t>Z = Straight up from nose</t>
  </si>
  <si>
    <t>WEIGHTS</t>
  </si>
  <si>
    <t>Main landing gear</t>
  </si>
  <si>
    <t>Nose landing gear</t>
  </si>
  <si>
    <t>Installed engine</t>
  </si>
  <si>
    <t>Fuel system</t>
  </si>
  <si>
    <t>Flight control system</t>
  </si>
  <si>
    <t>Hydraulic system</t>
  </si>
  <si>
    <t>Avionics systems</t>
  </si>
  <si>
    <t>Electrical sytem</t>
  </si>
  <si>
    <t>Anti-icing</t>
  </si>
  <si>
    <t>FUSELAGE SIZING</t>
  </si>
  <si>
    <t>Fuselage length (ft)</t>
  </si>
  <si>
    <t>x</t>
  </si>
  <si>
    <t>x/L</t>
  </si>
  <si>
    <t>(R/Rmax)^2</t>
  </si>
  <si>
    <t>S/Smax</t>
  </si>
  <si>
    <t>S</t>
  </si>
  <si>
    <t>CDW</t>
  </si>
  <si>
    <t>ESTIMATED GROSS TAKEOFF WEIGHT</t>
  </si>
  <si>
    <t>RFP SATISFACTION</t>
  </si>
  <si>
    <t>W_TO (from desired and S_wings)</t>
  </si>
  <si>
    <t>Fuel fraction</t>
  </si>
  <si>
    <t>Required value</t>
  </si>
  <si>
    <t>Design value</t>
  </si>
  <si>
    <t>Sanity check</t>
  </si>
  <si>
    <t>W_TO</t>
  </si>
  <si>
    <t>Empty weight</t>
  </si>
  <si>
    <t>Requirement</t>
  </si>
  <si>
    <t>Fuel weight</t>
  </si>
  <si>
    <t>Max Mach</t>
  </si>
  <si>
    <t>Fuel volume (gal)</t>
  </si>
  <si>
    <t>Range (nm)</t>
  </si>
  <si>
    <t>Loiter time (hrs)</t>
  </si>
  <si>
    <t>Realistic, even if unsatisfactory</t>
  </si>
  <si>
    <t>PLANFORM AREAS</t>
  </si>
  <si>
    <t>Flyaway cost (mil $USD)</t>
  </si>
  <si>
    <t>n max sustained (g's)</t>
  </si>
  <si>
    <t>Questionable</t>
  </si>
  <si>
    <t>Nose</t>
  </si>
  <si>
    <t>Measure of Merit</t>
  </si>
  <si>
    <t>Main wing</t>
  </si>
  <si>
    <t>Time to climb (sec)</t>
  </si>
  <si>
    <t>???</t>
  </si>
  <si>
    <t>SpecExPow (1) (ft/s)</t>
  </si>
  <si>
    <t>Vertical fins</t>
  </si>
  <si>
    <t>SpecExPow (2) (ft/s)</t>
  </si>
  <si>
    <t>SpecExPow (3) (ft/s)</t>
  </si>
  <si>
    <t>SpecExPow (4) (ft/s)</t>
  </si>
  <si>
    <t>SpecExPow (5) (ft/s)</t>
  </si>
  <si>
    <t>SpecExPow (6) (ft/s)</t>
  </si>
  <si>
    <t>Misc</t>
  </si>
  <si>
    <t>Wing loading TO (lbs/ft^2)</t>
  </si>
  <si>
    <t>Best loiter alt (ft)</t>
  </si>
  <si>
    <t>Best loiter mach</t>
  </si>
  <si>
    <t>Best cruise alt (ft)</t>
  </si>
  <si>
    <t>Best cruise mach</t>
  </si>
  <si>
    <t>35k loiter mach</t>
  </si>
  <si>
    <t>Takeoff Mach</t>
  </si>
  <si>
    <t>Landing Mach</t>
  </si>
  <si>
    <t>Root chord length (ft)</t>
  </si>
  <si>
    <t>WINGS</t>
  </si>
  <si>
    <t>Horizontal Tail</t>
  </si>
  <si>
    <t>Vertical Tail</t>
  </si>
  <si>
    <t>Strakes</t>
  </si>
  <si>
    <t>Span (ft)</t>
  </si>
  <si>
    <t>Sweep (LE, deg)</t>
  </si>
  <si>
    <t>Tip chord length (ft)</t>
  </si>
  <si>
    <t>Airfoil</t>
  </si>
  <si>
    <t>cl max</t>
  </si>
  <si>
    <t>NACA 65A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</si>
</sst>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 applyAlignment="1">
      <alignment wrapText="1"/>
    </xf>
    <xf numFmtId="0" fontId="0" fillId="2" borderId="5" xfId="0" applyFill="1" applyBorder="1" applyAlignment="1">
      <alignment wrapText="1"/>
    </xf>
    <xf numFmtId="0" fontId="0" fillId="2" borderId="9" xfId="0" applyFill="1" applyBorder="1" applyAlignment="1">
      <alignment wrapText="1"/>
    </xf>
    <xf numFmtId="0" fontId="0" fillId="2" borderId="11" xfId="0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0" fillId="3" borderId="7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10" xfId="0" applyFill="1" applyBorder="1" applyAlignment="1">
      <alignment wrapText="1"/>
    </xf>
  </cellXfs>
  <cellStyles count="1">
    <cellStyle name="Normal" xfId="0" builtinId="0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S/Smax vs X/L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2"/>
          <c:tx>
            <c:strRef>
              <c:f>[1]Concept3!$E$65:$E$67</c:f>
              <c:strCache>
                <c:ptCount val="3"/>
                <c:pt idx="0">
                  <c:v>FUSELAGE SIZING</c:v>
                </c:pt>
                <c:pt idx="1">
                  <c:v>45</c:v>
                </c:pt>
                <c:pt idx="2">
                  <c:v>S/Smax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[1]Concept3!$B$68:$B$128</c:f>
              <c:numCache>
                <c:formatCode>General</c:formatCode>
                <c:ptCount val="61"/>
                <c:pt idx="0">
                  <c:v>-22.5</c:v>
                </c:pt>
                <c:pt idx="1">
                  <c:v>-21.5</c:v>
                </c:pt>
                <c:pt idx="2">
                  <c:v>-20.5</c:v>
                </c:pt>
                <c:pt idx="3">
                  <c:v>-19.5</c:v>
                </c:pt>
                <c:pt idx="4">
                  <c:v>-18.5</c:v>
                </c:pt>
                <c:pt idx="5">
                  <c:v>-17.5</c:v>
                </c:pt>
                <c:pt idx="6">
                  <c:v>-16.5</c:v>
                </c:pt>
                <c:pt idx="7">
                  <c:v>-15.5</c:v>
                </c:pt>
                <c:pt idx="8">
                  <c:v>-14.5</c:v>
                </c:pt>
                <c:pt idx="9">
                  <c:v>-13.5</c:v>
                </c:pt>
                <c:pt idx="10">
                  <c:v>-12.5</c:v>
                </c:pt>
                <c:pt idx="11">
                  <c:v>-11.5</c:v>
                </c:pt>
                <c:pt idx="12">
                  <c:v>-10.5</c:v>
                </c:pt>
                <c:pt idx="13">
                  <c:v>-9.5</c:v>
                </c:pt>
                <c:pt idx="14">
                  <c:v>-8.5</c:v>
                </c:pt>
                <c:pt idx="15">
                  <c:v>-7.5</c:v>
                </c:pt>
                <c:pt idx="16">
                  <c:v>-6.5</c:v>
                </c:pt>
                <c:pt idx="17">
                  <c:v>-5.5</c:v>
                </c:pt>
                <c:pt idx="18">
                  <c:v>-4.5</c:v>
                </c:pt>
                <c:pt idx="19">
                  <c:v>-3.5</c:v>
                </c:pt>
                <c:pt idx="20">
                  <c:v>-2.5</c:v>
                </c:pt>
                <c:pt idx="21">
                  <c:v>-1.5</c:v>
                </c:pt>
                <c:pt idx="22">
                  <c:v>-0.5</c:v>
                </c:pt>
                <c:pt idx="23">
                  <c:v>0.5</c:v>
                </c:pt>
                <c:pt idx="24">
                  <c:v>1.5</c:v>
                </c:pt>
                <c:pt idx="25">
                  <c:v>2.5</c:v>
                </c:pt>
                <c:pt idx="26">
                  <c:v>3.5</c:v>
                </c:pt>
                <c:pt idx="27">
                  <c:v>4.5</c:v>
                </c:pt>
                <c:pt idx="28">
                  <c:v>5.5</c:v>
                </c:pt>
                <c:pt idx="29">
                  <c:v>6.5</c:v>
                </c:pt>
                <c:pt idx="30">
                  <c:v>7.5</c:v>
                </c:pt>
                <c:pt idx="31">
                  <c:v>8.5</c:v>
                </c:pt>
                <c:pt idx="32">
                  <c:v>9.5</c:v>
                </c:pt>
                <c:pt idx="33">
                  <c:v>10.5</c:v>
                </c:pt>
                <c:pt idx="34">
                  <c:v>11.5</c:v>
                </c:pt>
                <c:pt idx="35">
                  <c:v>12.5</c:v>
                </c:pt>
                <c:pt idx="36">
                  <c:v>13.5</c:v>
                </c:pt>
                <c:pt idx="37">
                  <c:v>14.5</c:v>
                </c:pt>
                <c:pt idx="38">
                  <c:v>15.5</c:v>
                </c:pt>
                <c:pt idx="39">
                  <c:v>16.5</c:v>
                </c:pt>
                <c:pt idx="40">
                  <c:v>17.5</c:v>
                </c:pt>
                <c:pt idx="41">
                  <c:v>18.5</c:v>
                </c:pt>
                <c:pt idx="42">
                  <c:v>19.5</c:v>
                </c:pt>
                <c:pt idx="43">
                  <c:v>20.5</c:v>
                </c:pt>
                <c:pt idx="44">
                  <c:v>21.5</c:v>
                </c:pt>
                <c:pt idx="45">
                  <c:v>22.5</c:v>
                </c:pt>
                <c:pt idx="46">
                  <c:v>23.5</c:v>
                </c:pt>
                <c:pt idx="47">
                  <c:v>24.5</c:v>
                </c:pt>
                <c:pt idx="48">
                  <c:v>25.5</c:v>
                </c:pt>
                <c:pt idx="49">
                  <c:v>26.5</c:v>
                </c:pt>
                <c:pt idx="50">
                  <c:v>27.5</c:v>
                </c:pt>
                <c:pt idx="51">
                  <c:v>28.5</c:v>
                </c:pt>
                <c:pt idx="52">
                  <c:v>29.5</c:v>
                </c:pt>
                <c:pt idx="53">
                  <c:v>30.5</c:v>
                </c:pt>
                <c:pt idx="54">
                  <c:v>31.5</c:v>
                </c:pt>
                <c:pt idx="55">
                  <c:v>32.5</c:v>
                </c:pt>
                <c:pt idx="56">
                  <c:v>33.5</c:v>
                </c:pt>
                <c:pt idx="57">
                  <c:v>34.5</c:v>
                </c:pt>
                <c:pt idx="58">
                  <c:v>35.5</c:v>
                </c:pt>
                <c:pt idx="59">
                  <c:v>36.5</c:v>
                </c:pt>
                <c:pt idx="60">
                  <c:v>37.5</c:v>
                </c:pt>
              </c:numCache>
            </c:numRef>
          </c:xVal>
          <c:yVal>
            <c:numRef>
              <c:f>[1]Concept3!$E$68:$E$128</c:f>
              <c:numCache>
                <c:formatCode>General</c:formatCode>
                <c:ptCount val="61"/>
                <c:pt idx="0">
                  <c:v>0</c:v>
                </c:pt>
                <c:pt idx="1">
                  <c:v>1.752945823491692E-2</c:v>
                </c:pt>
                <c:pt idx="2">
                  <c:v>6.4027742112482869E-2</c:v>
                </c:pt>
                <c:pt idx="3">
                  <c:v>0.13137836686390522</c:v>
                </c:pt>
                <c:pt idx="4">
                  <c:v>0.2127233102328715</c:v>
                </c:pt>
                <c:pt idx="5">
                  <c:v>0.3023433251353479</c:v>
                </c:pt>
                <c:pt idx="6">
                  <c:v>0.39554423668639066</c:v>
                </c:pt>
                <c:pt idx="7">
                  <c:v>0.48854922359396419</c:v>
                </c:pt>
                <c:pt idx="8">
                  <c:v>0.57839708391977329</c:v>
                </c:pt>
                <c:pt idx="9">
                  <c:v>0.66284648520710066</c:v>
                </c:pt>
                <c:pt idx="10">
                  <c:v>0.74028619897565751</c:v>
                </c:pt>
                <c:pt idx="11">
                  <c:v>0.80965131958344505</c:v>
                </c:pt>
                <c:pt idx="12">
                  <c:v>0.87034546745562125</c:v>
                </c:pt>
                <c:pt idx="13">
                  <c:v>0.92216897668038411</c:v>
                </c:pt>
                <c:pt idx="14">
                  <c:v>0.96525306697185886</c:v>
                </c:pt>
                <c:pt idx="15">
                  <c:v>1</c:v>
                </c:pt>
                <c:pt idx="16">
                  <c:v>1.0270292200874993</c:v>
                </c:pt>
                <c:pt idx="17">
                  <c:v>1.0471294792737071</c:v>
                </c:pt>
                <c:pt idx="18">
                  <c:v>1.0612169467455619</c:v>
                </c:pt>
                <c:pt idx="19">
                  <c:v>1.0702993026355303</c:v>
                </c:pt>
                <c:pt idx="20">
                  <c:v>1.0754458161865568</c:v>
                </c:pt>
                <c:pt idx="21">
                  <c:v>1.0777634082840235</c:v>
                </c:pt>
                <c:pt idx="22">
                  <c:v>1.0783786983547212</c:v>
                </c:pt>
                <c:pt idx="23">
                  <c:v>1.0783786983547212</c:v>
                </c:pt>
                <c:pt idx="24">
                  <c:v>1.0777634082840235</c:v>
                </c:pt>
                <c:pt idx="25">
                  <c:v>1.0754458161865568</c:v>
                </c:pt>
                <c:pt idx="26">
                  <c:v>1.0702993026355303</c:v>
                </c:pt>
                <c:pt idx="27">
                  <c:v>1.0612169467455619</c:v>
                </c:pt>
                <c:pt idx="28">
                  <c:v>1.0471294792737071</c:v>
                </c:pt>
                <c:pt idx="29">
                  <c:v>1.0270292200874993</c:v>
                </c:pt>
                <c:pt idx="30">
                  <c:v>1</c:v>
                </c:pt>
                <c:pt idx="31">
                  <c:v>0.96525306697185886</c:v>
                </c:pt>
                <c:pt idx="32">
                  <c:v>0.92216897668038411</c:v>
                </c:pt>
                <c:pt idx="33">
                  <c:v>0.87034546745562125</c:v>
                </c:pt>
                <c:pt idx="34">
                  <c:v>0.80965131958344505</c:v>
                </c:pt>
                <c:pt idx="35">
                  <c:v>0.74028619897565751</c:v>
                </c:pt>
                <c:pt idx="36">
                  <c:v>0.66284648520710066</c:v>
                </c:pt>
                <c:pt idx="37">
                  <c:v>0.57839708391977329</c:v>
                </c:pt>
                <c:pt idx="38">
                  <c:v>0.48854922359396419</c:v>
                </c:pt>
                <c:pt idx="39">
                  <c:v>0.39554423668639066</c:v>
                </c:pt>
                <c:pt idx="40">
                  <c:v>0.3023433251353479</c:v>
                </c:pt>
                <c:pt idx="41">
                  <c:v>0.2127233102328715</c:v>
                </c:pt>
                <c:pt idx="42">
                  <c:v>0.13137836686390522</c:v>
                </c:pt>
                <c:pt idx="43">
                  <c:v>6.4027742112482869E-2</c:v>
                </c:pt>
                <c:pt idx="44">
                  <c:v>1.752945823491692E-2</c:v>
                </c:pt>
                <c:pt idx="45">
                  <c:v>0</c:v>
                </c:pt>
                <c:pt idx="46">
                  <c:v>2.0939986396214427E-2</c:v>
                </c:pt>
                <c:pt idx="47">
                  <c:v>9.136582670595185E-2</c:v>
                </c:pt>
                <c:pt idx="48">
                  <c:v>0.22394736094674536</c:v>
                </c:pt>
                <c:pt idx="49">
                  <c:v>0.43315148467950804</c:v>
                </c:pt>
                <c:pt idx="50">
                  <c:v>0.73539175818378155</c:v>
                </c:pt>
                <c:pt idx="51">
                  <c:v>1.1491839999999993</c:v>
                </c:pt>
                <c:pt idx="52">
                  <c:v>1.6953078648387594</c:v>
                </c:pt>
                <c:pt idx="53">
                  <c:v>2.3969744058570961</c:v>
                </c:pt>
                <c:pt idx="54">
                  <c:v>3.279999621301771</c:v>
                </c:pt>
                <c:pt idx="55">
                  <c:v>4.3729839855195953</c:v>
                </c:pt>
                <c:pt idx="56">
                  <c:v>5.7074979643347046</c:v>
                </c:pt>
                <c:pt idx="57">
                  <c:v>7.3182735147929021</c:v>
                </c:pt>
                <c:pt idx="58">
                  <c:v>9.2434015692729723</c:v>
                </c:pt>
                <c:pt idx="59">
                  <c:v>11.524535503965065</c:v>
                </c:pt>
                <c:pt idx="60">
                  <c:v>14.207100591715975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3E-4F75-BC76-DAD4FE404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725344"/>
        <c:axId val="58772174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[1]Concept3!$C$65:$C$67</c15:sqref>
                        </c15:formulaRef>
                      </c:ext>
                    </c:extLst>
                    <c:strCache>
                      <c:ptCount val="3"/>
                      <c:pt idx="0">
                        <c:v>FUSELAGE SIZING</c:v>
                      </c:pt>
                      <c:pt idx="1">
                        <c:v>45</c:v>
                      </c:pt>
                      <c:pt idx="2">
                        <c:v>x/L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[1]Concept3!$B$68:$B$123</c15:sqref>
                        </c15:formulaRef>
                      </c:ext>
                    </c:extLst>
                    <c:numCache>
                      <c:formatCode>General</c:formatCode>
                      <c:ptCount val="56"/>
                      <c:pt idx="0">
                        <c:v>-22.5</c:v>
                      </c:pt>
                      <c:pt idx="1">
                        <c:v>-21.5</c:v>
                      </c:pt>
                      <c:pt idx="2">
                        <c:v>-20.5</c:v>
                      </c:pt>
                      <c:pt idx="3">
                        <c:v>-19.5</c:v>
                      </c:pt>
                      <c:pt idx="4">
                        <c:v>-18.5</c:v>
                      </c:pt>
                      <c:pt idx="5">
                        <c:v>-17.5</c:v>
                      </c:pt>
                      <c:pt idx="6">
                        <c:v>-16.5</c:v>
                      </c:pt>
                      <c:pt idx="7">
                        <c:v>-15.5</c:v>
                      </c:pt>
                      <c:pt idx="8">
                        <c:v>-14.5</c:v>
                      </c:pt>
                      <c:pt idx="9">
                        <c:v>-13.5</c:v>
                      </c:pt>
                      <c:pt idx="10">
                        <c:v>-12.5</c:v>
                      </c:pt>
                      <c:pt idx="11">
                        <c:v>-11.5</c:v>
                      </c:pt>
                      <c:pt idx="12">
                        <c:v>-10.5</c:v>
                      </c:pt>
                      <c:pt idx="13">
                        <c:v>-9.5</c:v>
                      </c:pt>
                      <c:pt idx="14">
                        <c:v>-8.5</c:v>
                      </c:pt>
                      <c:pt idx="15">
                        <c:v>-7.5</c:v>
                      </c:pt>
                      <c:pt idx="16">
                        <c:v>-6.5</c:v>
                      </c:pt>
                      <c:pt idx="17">
                        <c:v>-5.5</c:v>
                      </c:pt>
                      <c:pt idx="18">
                        <c:v>-4.5</c:v>
                      </c:pt>
                      <c:pt idx="19">
                        <c:v>-3.5</c:v>
                      </c:pt>
                      <c:pt idx="20">
                        <c:v>-2.5</c:v>
                      </c:pt>
                      <c:pt idx="21">
                        <c:v>-1.5</c:v>
                      </c:pt>
                      <c:pt idx="22">
                        <c:v>-0.5</c:v>
                      </c:pt>
                      <c:pt idx="23">
                        <c:v>0.5</c:v>
                      </c:pt>
                      <c:pt idx="24">
                        <c:v>1.5</c:v>
                      </c:pt>
                      <c:pt idx="25">
                        <c:v>2.5</c:v>
                      </c:pt>
                      <c:pt idx="26">
                        <c:v>3.5</c:v>
                      </c:pt>
                      <c:pt idx="27">
                        <c:v>4.5</c:v>
                      </c:pt>
                      <c:pt idx="28">
                        <c:v>5.5</c:v>
                      </c:pt>
                      <c:pt idx="29">
                        <c:v>6.5</c:v>
                      </c:pt>
                      <c:pt idx="30">
                        <c:v>7.5</c:v>
                      </c:pt>
                      <c:pt idx="31">
                        <c:v>8.5</c:v>
                      </c:pt>
                      <c:pt idx="32">
                        <c:v>9.5</c:v>
                      </c:pt>
                      <c:pt idx="33">
                        <c:v>10.5</c:v>
                      </c:pt>
                      <c:pt idx="34">
                        <c:v>11.5</c:v>
                      </c:pt>
                      <c:pt idx="35">
                        <c:v>12.5</c:v>
                      </c:pt>
                      <c:pt idx="36">
                        <c:v>13.5</c:v>
                      </c:pt>
                      <c:pt idx="37">
                        <c:v>14.5</c:v>
                      </c:pt>
                      <c:pt idx="38">
                        <c:v>15.5</c:v>
                      </c:pt>
                      <c:pt idx="39">
                        <c:v>16.5</c:v>
                      </c:pt>
                      <c:pt idx="40">
                        <c:v>17.5</c:v>
                      </c:pt>
                      <c:pt idx="41">
                        <c:v>18.5</c:v>
                      </c:pt>
                      <c:pt idx="42">
                        <c:v>19.5</c:v>
                      </c:pt>
                      <c:pt idx="43">
                        <c:v>20.5</c:v>
                      </c:pt>
                      <c:pt idx="44">
                        <c:v>21.5</c:v>
                      </c:pt>
                      <c:pt idx="45">
                        <c:v>22.5</c:v>
                      </c:pt>
                      <c:pt idx="46">
                        <c:v>23.5</c:v>
                      </c:pt>
                      <c:pt idx="47">
                        <c:v>24.5</c:v>
                      </c:pt>
                      <c:pt idx="48">
                        <c:v>25.5</c:v>
                      </c:pt>
                      <c:pt idx="49">
                        <c:v>26.5</c:v>
                      </c:pt>
                      <c:pt idx="50">
                        <c:v>27.5</c:v>
                      </c:pt>
                      <c:pt idx="51">
                        <c:v>28.5</c:v>
                      </c:pt>
                      <c:pt idx="52">
                        <c:v>29.5</c:v>
                      </c:pt>
                      <c:pt idx="53">
                        <c:v>30.5</c:v>
                      </c:pt>
                      <c:pt idx="54">
                        <c:v>31.5</c:v>
                      </c:pt>
                      <c:pt idx="55">
                        <c:v>32.5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[1]Concept3!$C$68:$C$123</c15:sqref>
                        </c15:formulaRef>
                      </c:ext>
                    </c:extLst>
                    <c:numCache>
                      <c:formatCode>General</c:formatCode>
                      <c:ptCount val="56"/>
                      <c:pt idx="0">
                        <c:v>-0.5</c:v>
                      </c:pt>
                      <c:pt idx="1">
                        <c:v>-0.4777777777777778</c:v>
                      </c:pt>
                      <c:pt idx="2">
                        <c:v>-0.45555555555555555</c:v>
                      </c:pt>
                      <c:pt idx="3">
                        <c:v>-0.43333333333333335</c:v>
                      </c:pt>
                      <c:pt idx="4">
                        <c:v>-0.41111111111111109</c:v>
                      </c:pt>
                      <c:pt idx="5">
                        <c:v>-0.3888888888888889</c:v>
                      </c:pt>
                      <c:pt idx="6">
                        <c:v>-0.36666666666666664</c:v>
                      </c:pt>
                      <c:pt idx="7">
                        <c:v>-0.34444444444444444</c:v>
                      </c:pt>
                      <c:pt idx="8">
                        <c:v>-0.32222222222222224</c:v>
                      </c:pt>
                      <c:pt idx="9">
                        <c:v>-0.3</c:v>
                      </c:pt>
                      <c:pt idx="10">
                        <c:v>-0.27777777777777779</c:v>
                      </c:pt>
                      <c:pt idx="11">
                        <c:v>-0.25555555555555554</c:v>
                      </c:pt>
                      <c:pt idx="12">
                        <c:v>-0.23333333333333334</c:v>
                      </c:pt>
                      <c:pt idx="13">
                        <c:v>-0.21111111111111111</c:v>
                      </c:pt>
                      <c:pt idx="14">
                        <c:v>-0.18888888888888888</c:v>
                      </c:pt>
                      <c:pt idx="15">
                        <c:v>-0.16666666666666666</c:v>
                      </c:pt>
                      <c:pt idx="16">
                        <c:v>-0.14444444444444443</c:v>
                      </c:pt>
                      <c:pt idx="17">
                        <c:v>-0.12222222222222222</c:v>
                      </c:pt>
                      <c:pt idx="18">
                        <c:v>-0.1</c:v>
                      </c:pt>
                      <c:pt idx="19">
                        <c:v>-7.7777777777777779E-2</c:v>
                      </c:pt>
                      <c:pt idx="20">
                        <c:v>-5.5555555555555552E-2</c:v>
                      </c:pt>
                      <c:pt idx="21">
                        <c:v>-3.3333333333333333E-2</c:v>
                      </c:pt>
                      <c:pt idx="22">
                        <c:v>-1.1111111111111112E-2</c:v>
                      </c:pt>
                      <c:pt idx="23">
                        <c:v>1.1111111111111112E-2</c:v>
                      </c:pt>
                      <c:pt idx="24">
                        <c:v>3.3333333333333333E-2</c:v>
                      </c:pt>
                      <c:pt idx="25">
                        <c:v>5.5555555555555552E-2</c:v>
                      </c:pt>
                      <c:pt idx="26">
                        <c:v>7.7777777777777779E-2</c:v>
                      </c:pt>
                      <c:pt idx="27">
                        <c:v>0.1</c:v>
                      </c:pt>
                      <c:pt idx="28">
                        <c:v>0.12222222222222222</c:v>
                      </c:pt>
                      <c:pt idx="29">
                        <c:v>0.14444444444444443</c:v>
                      </c:pt>
                      <c:pt idx="30">
                        <c:v>0.16666666666666666</c:v>
                      </c:pt>
                      <c:pt idx="31">
                        <c:v>0.18888888888888888</c:v>
                      </c:pt>
                      <c:pt idx="32">
                        <c:v>0.21111111111111111</c:v>
                      </c:pt>
                      <c:pt idx="33">
                        <c:v>0.23333333333333334</c:v>
                      </c:pt>
                      <c:pt idx="34">
                        <c:v>0.25555555555555554</c:v>
                      </c:pt>
                      <c:pt idx="35">
                        <c:v>0.27777777777777779</c:v>
                      </c:pt>
                      <c:pt idx="36">
                        <c:v>0.3</c:v>
                      </c:pt>
                      <c:pt idx="37">
                        <c:v>0.32222222222222224</c:v>
                      </c:pt>
                      <c:pt idx="38">
                        <c:v>0.34444444444444444</c:v>
                      </c:pt>
                      <c:pt idx="39">
                        <c:v>0.36666666666666664</c:v>
                      </c:pt>
                      <c:pt idx="40">
                        <c:v>0.3888888888888889</c:v>
                      </c:pt>
                      <c:pt idx="41">
                        <c:v>0.41111111111111109</c:v>
                      </c:pt>
                      <c:pt idx="42">
                        <c:v>0.43333333333333335</c:v>
                      </c:pt>
                      <c:pt idx="43">
                        <c:v>0.45555555555555555</c:v>
                      </c:pt>
                      <c:pt idx="44">
                        <c:v>0.4777777777777778</c:v>
                      </c:pt>
                      <c:pt idx="45">
                        <c:v>0.5</c:v>
                      </c:pt>
                      <c:pt idx="46">
                        <c:v>0.52222222222222225</c:v>
                      </c:pt>
                      <c:pt idx="47">
                        <c:v>0.5444444444444444</c:v>
                      </c:pt>
                      <c:pt idx="48">
                        <c:v>0.56666666666666665</c:v>
                      </c:pt>
                      <c:pt idx="49">
                        <c:v>0.58888888888888891</c:v>
                      </c:pt>
                      <c:pt idx="50">
                        <c:v>0.61111111111111116</c:v>
                      </c:pt>
                      <c:pt idx="51">
                        <c:v>0.6333333333333333</c:v>
                      </c:pt>
                      <c:pt idx="52">
                        <c:v>0.65555555555555556</c:v>
                      </c:pt>
                      <c:pt idx="53">
                        <c:v>0.67777777777777781</c:v>
                      </c:pt>
                      <c:pt idx="54">
                        <c:v>0.7</c:v>
                      </c:pt>
                      <c:pt idx="55">
                        <c:v>0.72222222222222221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D63E-4F75-BC76-DAD4FE4040DF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[1]Concept3!$D$65:$D$67</c15:sqref>
                        </c15:formulaRef>
                      </c:ext>
                    </c:extLst>
                    <c:strCache>
                      <c:ptCount val="3"/>
                      <c:pt idx="0">
                        <c:v>FUSELAGE SIZING</c:v>
                      </c:pt>
                      <c:pt idx="1">
                        <c:v>45</c:v>
                      </c:pt>
                      <c:pt idx="2">
                        <c:v>(R/Rmax)^2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[1]Concept3!$B$68:$B$123</c15:sqref>
                        </c15:formulaRef>
                      </c:ext>
                    </c:extLst>
                    <c:numCache>
                      <c:formatCode>General</c:formatCode>
                      <c:ptCount val="56"/>
                      <c:pt idx="0">
                        <c:v>-22.5</c:v>
                      </c:pt>
                      <c:pt idx="1">
                        <c:v>-21.5</c:v>
                      </c:pt>
                      <c:pt idx="2">
                        <c:v>-20.5</c:v>
                      </c:pt>
                      <c:pt idx="3">
                        <c:v>-19.5</c:v>
                      </c:pt>
                      <c:pt idx="4">
                        <c:v>-18.5</c:v>
                      </c:pt>
                      <c:pt idx="5">
                        <c:v>-17.5</c:v>
                      </c:pt>
                      <c:pt idx="6">
                        <c:v>-16.5</c:v>
                      </c:pt>
                      <c:pt idx="7">
                        <c:v>-15.5</c:v>
                      </c:pt>
                      <c:pt idx="8">
                        <c:v>-14.5</c:v>
                      </c:pt>
                      <c:pt idx="9">
                        <c:v>-13.5</c:v>
                      </c:pt>
                      <c:pt idx="10">
                        <c:v>-12.5</c:v>
                      </c:pt>
                      <c:pt idx="11">
                        <c:v>-11.5</c:v>
                      </c:pt>
                      <c:pt idx="12">
                        <c:v>-10.5</c:v>
                      </c:pt>
                      <c:pt idx="13">
                        <c:v>-9.5</c:v>
                      </c:pt>
                      <c:pt idx="14">
                        <c:v>-8.5</c:v>
                      </c:pt>
                      <c:pt idx="15">
                        <c:v>-7.5</c:v>
                      </c:pt>
                      <c:pt idx="16">
                        <c:v>-6.5</c:v>
                      </c:pt>
                      <c:pt idx="17">
                        <c:v>-5.5</c:v>
                      </c:pt>
                      <c:pt idx="18">
                        <c:v>-4.5</c:v>
                      </c:pt>
                      <c:pt idx="19">
                        <c:v>-3.5</c:v>
                      </c:pt>
                      <c:pt idx="20">
                        <c:v>-2.5</c:v>
                      </c:pt>
                      <c:pt idx="21">
                        <c:v>-1.5</c:v>
                      </c:pt>
                      <c:pt idx="22">
                        <c:v>-0.5</c:v>
                      </c:pt>
                      <c:pt idx="23">
                        <c:v>0.5</c:v>
                      </c:pt>
                      <c:pt idx="24">
                        <c:v>1.5</c:v>
                      </c:pt>
                      <c:pt idx="25">
                        <c:v>2.5</c:v>
                      </c:pt>
                      <c:pt idx="26">
                        <c:v>3.5</c:v>
                      </c:pt>
                      <c:pt idx="27">
                        <c:v>4.5</c:v>
                      </c:pt>
                      <c:pt idx="28">
                        <c:v>5.5</c:v>
                      </c:pt>
                      <c:pt idx="29">
                        <c:v>6.5</c:v>
                      </c:pt>
                      <c:pt idx="30">
                        <c:v>7.5</c:v>
                      </c:pt>
                      <c:pt idx="31">
                        <c:v>8.5</c:v>
                      </c:pt>
                      <c:pt idx="32">
                        <c:v>9.5</c:v>
                      </c:pt>
                      <c:pt idx="33">
                        <c:v>10.5</c:v>
                      </c:pt>
                      <c:pt idx="34">
                        <c:v>11.5</c:v>
                      </c:pt>
                      <c:pt idx="35">
                        <c:v>12.5</c:v>
                      </c:pt>
                      <c:pt idx="36">
                        <c:v>13.5</c:v>
                      </c:pt>
                      <c:pt idx="37">
                        <c:v>14.5</c:v>
                      </c:pt>
                      <c:pt idx="38">
                        <c:v>15.5</c:v>
                      </c:pt>
                      <c:pt idx="39">
                        <c:v>16.5</c:v>
                      </c:pt>
                      <c:pt idx="40">
                        <c:v>17.5</c:v>
                      </c:pt>
                      <c:pt idx="41">
                        <c:v>18.5</c:v>
                      </c:pt>
                      <c:pt idx="42">
                        <c:v>19.5</c:v>
                      </c:pt>
                      <c:pt idx="43">
                        <c:v>20.5</c:v>
                      </c:pt>
                      <c:pt idx="44">
                        <c:v>21.5</c:v>
                      </c:pt>
                      <c:pt idx="45">
                        <c:v>22.5</c:v>
                      </c:pt>
                      <c:pt idx="46">
                        <c:v>23.5</c:v>
                      </c:pt>
                      <c:pt idx="47">
                        <c:v>24.5</c:v>
                      </c:pt>
                      <c:pt idx="48">
                        <c:v>25.5</c:v>
                      </c:pt>
                      <c:pt idx="49">
                        <c:v>26.5</c:v>
                      </c:pt>
                      <c:pt idx="50">
                        <c:v>27.5</c:v>
                      </c:pt>
                      <c:pt idx="51">
                        <c:v>28.5</c:v>
                      </c:pt>
                      <c:pt idx="52">
                        <c:v>29.5</c:v>
                      </c:pt>
                      <c:pt idx="53">
                        <c:v>30.5</c:v>
                      </c:pt>
                      <c:pt idx="54">
                        <c:v>31.5</c:v>
                      </c:pt>
                      <c:pt idx="55">
                        <c:v>32.5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[1]Concept3!$D$68:$D$123</c15:sqref>
                        </c15:formulaRef>
                      </c:ext>
                    </c:extLst>
                    <c:numCache>
                      <c:formatCode>General</c:formatCode>
                      <c:ptCount val="56"/>
                      <c:pt idx="0">
                        <c:v>0</c:v>
                      </c:pt>
                      <c:pt idx="1">
                        <c:v>0.1274951989026063</c:v>
                      </c:pt>
                      <c:pt idx="2">
                        <c:v>0.24366529492455424</c:v>
                      </c:pt>
                      <c:pt idx="3">
                        <c:v>0.34903703703703692</c:v>
                      </c:pt>
                      <c:pt idx="4">
                        <c:v>0.44413717421124832</c:v>
                      </c:pt>
                      <c:pt idx="5">
                        <c:v>0.5294924554183813</c:v>
                      </c:pt>
                      <c:pt idx="6">
                        <c:v>0.60562962962962974</c:v>
                      </c:pt>
                      <c:pt idx="7">
                        <c:v>0.6730754458161865</c:v>
                      </c:pt>
                      <c:pt idx="8">
                        <c:v>0.73235665294924546</c:v>
                      </c:pt>
                      <c:pt idx="9">
                        <c:v>0.78400000000000003</c:v>
                      </c:pt>
                      <c:pt idx="10">
                        <c:v>0.82853223593964331</c:v>
                      </c:pt>
                      <c:pt idx="11">
                        <c:v>0.86648010973936906</c:v>
                      </c:pt>
                      <c:pt idx="12">
                        <c:v>0.89837037037037037</c:v>
                      </c:pt>
                      <c:pt idx="13">
                        <c:v>0.92472976680384089</c:v>
                      </c:pt>
                      <c:pt idx="14">
                        <c:v>0.94608504801097393</c:v>
                      </c:pt>
                      <c:pt idx="15">
                        <c:v>0.96296296296296302</c:v>
                      </c:pt>
                      <c:pt idx="16">
                        <c:v>0.97589026063100137</c:v>
                      </c:pt>
                      <c:pt idx="17">
                        <c:v>0.98539368998628263</c:v>
                      </c:pt>
                      <c:pt idx="18">
                        <c:v>0.99199999999999999</c:v>
                      </c:pt>
                      <c:pt idx="19">
                        <c:v>0.996235939643347</c:v>
                      </c:pt>
                      <c:pt idx="20">
                        <c:v>0.99862825788751719</c:v>
                      </c:pt>
                      <c:pt idx="21">
                        <c:v>0.99970370370370365</c:v>
                      </c:pt>
                      <c:pt idx="22">
                        <c:v>0.99998902606310014</c:v>
                      </c:pt>
                      <c:pt idx="23">
                        <c:v>0.99998902606310014</c:v>
                      </c:pt>
                      <c:pt idx="24">
                        <c:v>0.99970370370370365</c:v>
                      </c:pt>
                      <c:pt idx="25">
                        <c:v>0.99862825788751719</c:v>
                      </c:pt>
                      <c:pt idx="26">
                        <c:v>0.996235939643347</c:v>
                      </c:pt>
                      <c:pt idx="27">
                        <c:v>0.99199999999999999</c:v>
                      </c:pt>
                      <c:pt idx="28">
                        <c:v>0.98539368998628263</c:v>
                      </c:pt>
                      <c:pt idx="29">
                        <c:v>0.97589026063100137</c:v>
                      </c:pt>
                      <c:pt idx="30">
                        <c:v>0.96296296296296302</c:v>
                      </c:pt>
                      <c:pt idx="31">
                        <c:v>0.94608504801097393</c:v>
                      </c:pt>
                      <c:pt idx="32">
                        <c:v>0.92472976680384089</c:v>
                      </c:pt>
                      <c:pt idx="33">
                        <c:v>0.89837037037037037</c:v>
                      </c:pt>
                      <c:pt idx="34">
                        <c:v>0.86648010973936906</c:v>
                      </c:pt>
                      <c:pt idx="35">
                        <c:v>0.82853223593964331</c:v>
                      </c:pt>
                      <c:pt idx="36">
                        <c:v>0.78400000000000003</c:v>
                      </c:pt>
                      <c:pt idx="37">
                        <c:v>0.73235665294924546</c:v>
                      </c:pt>
                      <c:pt idx="38">
                        <c:v>0.6730754458161865</c:v>
                      </c:pt>
                      <c:pt idx="39">
                        <c:v>0.60562962962962974</c:v>
                      </c:pt>
                      <c:pt idx="40">
                        <c:v>0.5294924554183813</c:v>
                      </c:pt>
                      <c:pt idx="41">
                        <c:v>0.44413717421124832</c:v>
                      </c:pt>
                      <c:pt idx="42">
                        <c:v>0.34903703703703692</c:v>
                      </c:pt>
                      <c:pt idx="43">
                        <c:v>0.24366529492455424</c:v>
                      </c:pt>
                      <c:pt idx="44">
                        <c:v>0.1274951989026063</c:v>
                      </c:pt>
                      <c:pt idx="45">
                        <c:v>0</c:v>
                      </c:pt>
                      <c:pt idx="46">
                        <c:v>-0.13934705075445852</c:v>
                      </c:pt>
                      <c:pt idx="47">
                        <c:v>-0.29107270233196125</c:v>
                      </c:pt>
                      <c:pt idx="48">
                        <c:v>-0.4557037037037035</c:v>
                      </c:pt>
                      <c:pt idx="49">
                        <c:v>-0.63376680384087836</c:v>
                      </c:pt>
                      <c:pt idx="50">
                        <c:v>-0.82578875171467803</c:v>
                      </c:pt>
                      <c:pt idx="51">
                        <c:v>-1.032296296296296</c:v>
                      </c:pt>
                      <c:pt idx="52">
                        <c:v>-1.2538161865569273</c:v>
                      </c:pt>
                      <c:pt idx="53">
                        <c:v>-1.4908751714677644</c:v>
                      </c:pt>
                      <c:pt idx="54">
                        <c:v>-1.7439999999999989</c:v>
                      </c:pt>
                      <c:pt idx="55">
                        <c:v>-2.0137174211248281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63E-4F75-BC76-DAD4FE4040DF}"/>
                  </c:ext>
                </c:extLst>
              </c15:ser>
            </c15:filteredScatterSeries>
          </c:ext>
        </c:extLst>
      </c:scatterChart>
      <c:valAx>
        <c:axId val="58772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721744"/>
        <c:crosses val="autoZero"/>
        <c:crossBetween val="midCat"/>
      </c:valAx>
      <c:valAx>
        <c:axId val="58772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725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Cross-sectional</a:t>
            </a:r>
            <a:r>
              <a:rPr lang="en-US" baseline="0"/>
              <a:t> area (ft^2) vs X/L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3"/>
          <c:tx>
            <c:strRef>
              <c:f>[1]Concept3!$F$65:$F$67</c:f>
              <c:strCache>
                <c:ptCount val="3"/>
                <c:pt idx="0">
                  <c:v>FUSELAGE SIZING</c:v>
                </c:pt>
                <c:pt idx="1">
                  <c:v>45</c:v>
                </c:pt>
                <c:pt idx="2">
                  <c:v>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[1]Concept3!$B$68:$B$128</c:f>
              <c:numCache>
                <c:formatCode>General</c:formatCode>
                <c:ptCount val="61"/>
                <c:pt idx="0">
                  <c:v>-22.5</c:v>
                </c:pt>
                <c:pt idx="1">
                  <c:v>-21.5</c:v>
                </c:pt>
                <c:pt idx="2">
                  <c:v>-20.5</c:v>
                </c:pt>
                <c:pt idx="3">
                  <c:v>-19.5</c:v>
                </c:pt>
                <c:pt idx="4">
                  <c:v>-18.5</c:v>
                </c:pt>
                <c:pt idx="5">
                  <c:v>-17.5</c:v>
                </c:pt>
                <c:pt idx="6">
                  <c:v>-16.5</c:v>
                </c:pt>
                <c:pt idx="7">
                  <c:v>-15.5</c:v>
                </c:pt>
                <c:pt idx="8">
                  <c:v>-14.5</c:v>
                </c:pt>
                <c:pt idx="9">
                  <c:v>-13.5</c:v>
                </c:pt>
                <c:pt idx="10">
                  <c:v>-12.5</c:v>
                </c:pt>
                <c:pt idx="11">
                  <c:v>-11.5</c:v>
                </c:pt>
                <c:pt idx="12">
                  <c:v>-10.5</c:v>
                </c:pt>
                <c:pt idx="13">
                  <c:v>-9.5</c:v>
                </c:pt>
                <c:pt idx="14">
                  <c:v>-8.5</c:v>
                </c:pt>
                <c:pt idx="15">
                  <c:v>-7.5</c:v>
                </c:pt>
                <c:pt idx="16">
                  <c:v>-6.5</c:v>
                </c:pt>
                <c:pt idx="17">
                  <c:v>-5.5</c:v>
                </c:pt>
                <c:pt idx="18">
                  <c:v>-4.5</c:v>
                </c:pt>
                <c:pt idx="19">
                  <c:v>-3.5</c:v>
                </c:pt>
                <c:pt idx="20">
                  <c:v>-2.5</c:v>
                </c:pt>
                <c:pt idx="21">
                  <c:v>-1.5</c:v>
                </c:pt>
                <c:pt idx="22">
                  <c:v>-0.5</c:v>
                </c:pt>
                <c:pt idx="23">
                  <c:v>0.5</c:v>
                </c:pt>
                <c:pt idx="24">
                  <c:v>1.5</c:v>
                </c:pt>
                <c:pt idx="25">
                  <c:v>2.5</c:v>
                </c:pt>
                <c:pt idx="26">
                  <c:v>3.5</c:v>
                </c:pt>
                <c:pt idx="27">
                  <c:v>4.5</c:v>
                </c:pt>
                <c:pt idx="28">
                  <c:v>5.5</c:v>
                </c:pt>
                <c:pt idx="29">
                  <c:v>6.5</c:v>
                </c:pt>
                <c:pt idx="30">
                  <c:v>7.5</c:v>
                </c:pt>
                <c:pt idx="31">
                  <c:v>8.5</c:v>
                </c:pt>
                <c:pt idx="32">
                  <c:v>9.5</c:v>
                </c:pt>
                <c:pt idx="33">
                  <c:v>10.5</c:v>
                </c:pt>
                <c:pt idx="34">
                  <c:v>11.5</c:v>
                </c:pt>
                <c:pt idx="35">
                  <c:v>12.5</c:v>
                </c:pt>
                <c:pt idx="36">
                  <c:v>13.5</c:v>
                </c:pt>
                <c:pt idx="37">
                  <c:v>14.5</c:v>
                </c:pt>
                <c:pt idx="38">
                  <c:v>15.5</c:v>
                </c:pt>
                <c:pt idx="39">
                  <c:v>16.5</c:v>
                </c:pt>
                <c:pt idx="40">
                  <c:v>17.5</c:v>
                </c:pt>
                <c:pt idx="41">
                  <c:v>18.5</c:v>
                </c:pt>
                <c:pt idx="42">
                  <c:v>19.5</c:v>
                </c:pt>
                <c:pt idx="43">
                  <c:v>20.5</c:v>
                </c:pt>
                <c:pt idx="44">
                  <c:v>21.5</c:v>
                </c:pt>
                <c:pt idx="45">
                  <c:v>22.5</c:v>
                </c:pt>
                <c:pt idx="46">
                  <c:v>23.5</c:v>
                </c:pt>
                <c:pt idx="47">
                  <c:v>24.5</c:v>
                </c:pt>
                <c:pt idx="48">
                  <c:v>25.5</c:v>
                </c:pt>
                <c:pt idx="49">
                  <c:v>26.5</c:v>
                </c:pt>
                <c:pt idx="50">
                  <c:v>27.5</c:v>
                </c:pt>
                <c:pt idx="51">
                  <c:v>28.5</c:v>
                </c:pt>
                <c:pt idx="52">
                  <c:v>29.5</c:v>
                </c:pt>
                <c:pt idx="53">
                  <c:v>30.5</c:v>
                </c:pt>
                <c:pt idx="54">
                  <c:v>31.5</c:v>
                </c:pt>
                <c:pt idx="55">
                  <c:v>32.5</c:v>
                </c:pt>
                <c:pt idx="56">
                  <c:v>33.5</c:v>
                </c:pt>
                <c:pt idx="57">
                  <c:v>34.5</c:v>
                </c:pt>
                <c:pt idx="58">
                  <c:v>35.5</c:v>
                </c:pt>
                <c:pt idx="59">
                  <c:v>36.5</c:v>
                </c:pt>
                <c:pt idx="60">
                  <c:v>37.5</c:v>
                </c:pt>
              </c:numCache>
            </c:numRef>
          </c:xVal>
          <c:yVal>
            <c:numRef>
              <c:f>[1]Concept3!$F$68:$F$128</c:f>
              <c:numCache>
                <c:formatCode>General</c:formatCode>
                <c:ptCount val="61"/>
                <c:pt idx="0">
                  <c:v>0</c:v>
                </c:pt>
                <c:pt idx="1">
                  <c:v>1.29945329410039</c:v>
                </c:pt>
                <c:pt idx="2">
                  <c:v>4.7463566350355295</c:v>
                </c:pt>
                <c:pt idx="3">
                  <c:v>9.7390375279695736</c:v>
                </c:pt>
                <c:pt idx="4">
                  <c:v>15.769112913223708</c:v>
                </c:pt>
                <c:pt idx="5">
                  <c:v>22.412616780923301</c:v>
                </c:pt>
                <c:pt idx="6">
                  <c:v>29.321571404912888</c:v>
                </c:pt>
                <c:pt idx="7">
                  <c:v>36.216002195938579</c:v>
                </c:pt>
                <c:pt idx="8">
                  <c:v>42.876396174098382</c:v>
                </c:pt>
                <c:pt idx="9">
                  <c:v>49.136604060559812</c:v>
                </c:pt>
                <c:pt idx="10">
                  <c:v>54.877185988545421</c:v>
                </c:pt>
                <c:pt idx="11">
                  <c:v>60.019200833585927</c:v>
                </c:pt>
                <c:pt idx="12">
                  <c:v>64.518439163040739</c:v>
                </c:pt>
                <c:pt idx="13">
                  <c:v>68.360099804886545</c:v>
                </c:pt>
                <c:pt idx="14">
                  <c:v>71.553910035773058</c:v>
                </c:pt>
                <c:pt idx="15">
                  <c:v>74.129689388346847</c:v>
                </c:pt>
                <c:pt idx="16">
                  <c:v>76.133357077842433</c:v>
                </c:pt>
                <c:pt idx="17">
                  <c:v>77.623383047941289</c:v>
                </c:pt>
                <c:pt idx="18">
                  <c:v>78.667682635898316</c:v>
                </c:pt>
                <c:pt idx="19">
                  <c:v>79.340954856936108</c:v>
                </c:pt>
                <c:pt idx="20">
                  <c:v>79.722464307906606</c:v>
                </c:pt>
                <c:pt idx="21">
                  <c:v>79.894266690220704</c:v>
                </c:pt>
                <c:pt idx="22">
                  <c:v>79.939877952045265</c:v>
                </c:pt>
                <c:pt idx="23">
                  <c:v>79.939877952045265</c:v>
                </c:pt>
                <c:pt idx="24">
                  <c:v>79.894266690220704</c:v>
                </c:pt>
                <c:pt idx="25">
                  <c:v>79.722464307906606</c:v>
                </c:pt>
                <c:pt idx="26">
                  <c:v>79.340954856936108</c:v>
                </c:pt>
                <c:pt idx="27">
                  <c:v>78.667682635898316</c:v>
                </c:pt>
                <c:pt idx="28">
                  <c:v>77.623383047941289</c:v>
                </c:pt>
                <c:pt idx="29">
                  <c:v>76.133357077842433</c:v>
                </c:pt>
                <c:pt idx="30">
                  <c:v>74.129689388346847</c:v>
                </c:pt>
                <c:pt idx="31">
                  <c:v>71.553910035773058</c:v>
                </c:pt>
                <c:pt idx="32">
                  <c:v>68.360099804886545</c:v>
                </c:pt>
                <c:pt idx="33">
                  <c:v>64.518439163040739</c:v>
                </c:pt>
                <c:pt idx="34">
                  <c:v>60.019200833585927</c:v>
                </c:pt>
                <c:pt idx="35">
                  <c:v>54.877185988545421</c:v>
                </c:pt>
                <c:pt idx="36">
                  <c:v>49.136604060559812</c:v>
                </c:pt>
                <c:pt idx="37">
                  <c:v>42.876396174098382</c:v>
                </c:pt>
                <c:pt idx="38">
                  <c:v>36.216002195938579</c:v>
                </c:pt>
                <c:pt idx="39">
                  <c:v>29.321571404912888</c:v>
                </c:pt>
                <c:pt idx="40">
                  <c:v>22.412616780923301</c:v>
                </c:pt>
                <c:pt idx="41">
                  <c:v>15.769112913223708</c:v>
                </c:pt>
                <c:pt idx="42">
                  <c:v>9.7390375279695736</c:v>
                </c:pt>
                <c:pt idx="43">
                  <c:v>4.7463566350355295</c:v>
                </c:pt>
                <c:pt idx="44">
                  <c:v>1.29945329410039</c:v>
                </c:pt>
                <c:pt idx="45">
                  <c:v>0</c:v>
                </c:pt>
                <c:pt idx="46">
                  <c:v>1.5522746873475839</c:v>
                </c:pt>
                <c:pt idx="47">
                  <c:v>6.7729203544217356</c:v>
                </c:pt>
                <c:pt idx="48">
                  <c:v>16.60114830632223</c:v>
                </c:pt>
                <c:pt idx="49">
                  <c:v>32.109385017393208</c:v>
                </c:pt>
                <c:pt idx="50">
                  <c:v>54.514362612913999</c:v>
                </c:pt>
                <c:pt idx="51">
                  <c:v>85.18865297005793</c:v>
                </c:pt>
                <c:pt idx="52">
                  <c:v>125.67264543811874</c:v>
                </c:pt>
                <c:pt idx="53">
                  <c:v>177.68696817800375</c:v>
                </c:pt>
                <c:pt idx="54">
                  <c:v>243.14535312099557</c:v>
                </c:pt>
                <c:pt idx="55">
                  <c:v>324.16794454678262</c:v>
                </c:pt>
                <c:pt idx="56">
                  <c:v>423.09505128075358</c:v>
                </c:pt>
                <c:pt idx="57">
                  <c:v>542.50134251056318</c:v>
                </c:pt>
                <c:pt idx="58">
                  <c:v>685.21048722196326</c:v>
                </c:pt>
                <c:pt idx="59">
                  <c:v>854.3102372539056</c:v>
                </c:pt>
                <c:pt idx="60">
                  <c:v>1053.1679539729039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5A-4CAE-BFE5-5DABD7406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783992"/>
        <c:axId val="59978795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[1]Concept3!$C$65:$C$67</c15:sqref>
                        </c15:formulaRef>
                      </c:ext>
                    </c:extLst>
                    <c:strCache>
                      <c:ptCount val="3"/>
                      <c:pt idx="0">
                        <c:v>FUSELAGE SIZING</c:v>
                      </c:pt>
                      <c:pt idx="1">
                        <c:v>45</c:v>
                      </c:pt>
                      <c:pt idx="2">
                        <c:v>x/L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[1]Concept3!$B$68:$B$123</c15:sqref>
                        </c15:formulaRef>
                      </c:ext>
                    </c:extLst>
                    <c:numCache>
                      <c:formatCode>General</c:formatCode>
                      <c:ptCount val="56"/>
                      <c:pt idx="0">
                        <c:v>-22.5</c:v>
                      </c:pt>
                      <c:pt idx="1">
                        <c:v>-21.5</c:v>
                      </c:pt>
                      <c:pt idx="2">
                        <c:v>-20.5</c:v>
                      </c:pt>
                      <c:pt idx="3">
                        <c:v>-19.5</c:v>
                      </c:pt>
                      <c:pt idx="4">
                        <c:v>-18.5</c:v>
                      </c:pt>
                      <c:pt idx="5">
                        <c:v>-17.5</c:v>
                      </c:pt>
                      <c:pt idx="6">
                        <c:v>-16.5</c:v>
                      </c:pt>
                      <c:pt idx="7">
                        <c:v>-15.5</c:v>
                      </c:pt>
                      <c:pt idx="8">
                        <c:v>-14.5</c:v>
                      </c:pt>
                      <c:pt idx="9">
                        <c:v>-13.5</c:v>
                      </c:pt>
                      <c:pt idx="10">
                        <c:v>-12.5</c:v>
                      </c:pt>
                      <c:pt idx="11">
                        <c:v>-11.5</c:v>
                      </c:pt>
                      <c:pt idx="12">
                        <c:v>-10.5</c:v>
                      </c:pt>
                      <c:pt idx="13">
                        <c:v>-9.5</c:v>
                      </c:pt>
                      <c:pt idx="14">
                        <c:v>-8.5</c:v>
                      </c:pt>
                      <c:pt idx="15">
                        <c:v>-7.5</c:v>
                      </c:pt>
                      <c:pt idx="16">
                        <c:v>-6.5</c:v>
                      </c:pt>
                      <c:pt idx="17">
                        <c:v>-5.5</c:v>
                      </c:pt>
                      <c:pt idx="18">
                        <c:v>-4.5</c:v>
                      </c:pt>
                      <c:pt idx="19">
                        <c:v>-3.5</c:v>
                      </c:pt>
                      <c:pt idx="20">
                        <c:v>-2.5</c:v>
                      </c:pt>
                      <c:pt idx="21">
                        <c:v>-1.5</c:v>
                      </c:pt>
                      <c:pt idx="22">
                        <c:v>-0.5</c:v>
                      </c:pt>
                      <c:pt idx="23">
                        <c:v>0.5</c:v>
                      </c:pt>
                      <c:pt idx="24">
                        <c:v>1.5</c:v>
                      </c:pt>
                      <c:pt idx="25">
                        <c:v>2.5</c:v>
                      </c:pt>
                      <c:pt idx="26">
                        <c:v>3.5</c:v>
                      </c:pt>
                      <c:pt idx="27">
                        <c:v>4.5</c:v>
                      </c:pt>
                      <c:pt idx="28">
                        <c:v>5.5</c:v>
                      </c:pt>
                      <c:pt idx="29">
                        <c:v>6.5</c:v>
                      </c:pt>
                      <c:pt idx="30">
                        <c:v>7.5</c:v>
                      </c:pt>
                      <c:pt idx="31">
                        <c:v>8.5</c:v>
                      </c:pt>
                      <c:pt idx="32">
                        <c:v>9.5</c:v>
                      </c:pt>
                      <c:pt idx="33">
                        <c:v>10.5</c:v>
                      </c:pt>
                      <c:pt idx="34">
                        <c:v>11.5</c:v>
                      </c:pt>
                      <c:pt idx="35">
                        <c:v>12.5</c:v>
                      </c:pt>
                      <c:pt idx="36">
                        <c:v>13.5</c:v>
                      </c:pt>
                      <c:pt idx="37">
                        <c:v>14.5</c:v>
                      </c:pt>
                      <c:pt idx="38">
                        <c:v>15.5</c:v>
                      </c:pt>
                      <c:pt idx="39">
                        <c:v>16.5</c:v>
                      </c:pt>
                      <c:pt idx="40">
                        <c:v>17.5</c:v>
                      </c:pt>
                      <c:pt idx="41">
                        <c:v>18.5</c:v>
                      </c:pt>
                      <c:pt idx="42">
                        <c:v>19.5</c:v>
                      </c:pt>
                      <c:pt idx="43">
                        <c:v>20.5</c:v>
                      </c:pt>
                      <c:pt idx="44">
                        <c:v>21.5</c:v>
                      </c:pt>
                      <c:pt idx="45">
                        <c:v>22.5</c:v>
                      </c:pt>
                      <c:pt idx="46">
                        <c:v>23.5</c:v>
                      </c:pt>
                      <c:pt idx="47">
                        <c:v>24.5</c:v>
                      </c:pt>
                      <c:pt idx="48">
                        <c:v>25.5</c:v>
                      </c:pt>
                      <c:pt idx="49">
                        <c:v>26.5</c:v>
                      </c:pt>
                      <c:pt idx="50">
                        <c:v>27.5</c:v>
                      </c:pt>
                      <c:pt idx="51">
                        <c:v>28.5</c:v>
                      </c:pt>
                      <c:pt idx="52">
                        <c:v>29.5</c:v>
                      </c:pt>
                      <c:pt idx="53">
                        <c:v>30.5</c:v>
                      </c:pt>
                      <c:pt idx="54">
                        <c:v>31.5</c:v>
                      </c:pt>
                      <c:pt idx="55">
                        <c:v>32.5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[1]Concept3!$C$68:$C$123</c15:sqref>
                        </c15:formulaRef>
                      </c:ext>
                    </c:extLst>
                    <c:numCache>
                      <c:formatCode>General</c:formatCode>
                      <c:ptCount val="56"/>
                      <c:pt idx="0">
                        <c:v>-0.5</c:v>
                      </c:pt>
                      <c:pt idx="1">
                        <c:v>-0.4777777777777778</c:v>
                      </c:pt>
                      <c:pt idx="2">
                        <c:v>-0.45555555555555555</c:v>
                      </c:pt>
                      <c:pt idx="3">
                        <c:v>-0.43333333333333335</c:v>
                      </c:pt>
                      <c:pt idx="4">
                        <c:v>-0.41111111111111109</c:v>
                      </c:pt>
                      <c:pt idx="5">
                        <c:v>-0.3888888888888889</c:v>
                      </c:pt>
                      <c:pt idx="6">
                        <c:v>-0.36666666666666664</c:v>
                      </c:pt>
                      <c:pt idx="7">
                        <c:v>-0.34444444444444444</c:v>
                      </c:pt>
                      <c:pt idx="8">
                        <c:v>-0.32222222222222224</c:v>
                      </c:pt>
                      <c:pt idx="9">
                        <c:v>-0.3</c:v>
                      </c:pt>
                      <c:pt idx="10">
                        <c:v>-0.27777777777777779</c:v>
                      </c:pt>
                      <c:pt idx="11">
                        <c:v>-0.25555555555555554</c:v>
                      </c:pt>
                      <c:pt idx="12">
                        <c:v>-0.23333333333333334</c:v>
                      </c:pt>
                      <c:pt idx="13">
                        <c:v>-0.21111111111111111</c:v>
                      </c:pt>
                      <c:pt idx="14">
                        <c:v>-0.18888888888888888</c:v>
                      </c:pt>
                      <c:pt idx="15">
                        <c:v>-0.16666666666666666</c:v>
                      </c:pt>
                      <c:pt idx="16">
                        <c:v>-0.14444444444444443</c:v>
                      </c:pt>
                      <c:pt idx="17">
                        <c:v>-0.12222222222222222</c:v>
                      </c:pt>
                      <c:pt idx="18">
                        <c:v>-0.1</c:v>
                      </c:pt>
                      <c:pt idx="19">
                        <c:v>-7.7777777777777779E-2</c:v>
                      </c:pt>
                      <c:pt idx="20">
                        <c:v>-5.5555555555555552E-2</c:v>
                      </c:pt>
                      <c:pt idx="21">
                        <c:v>-3.3333333333333333E-2</c:v>
                      </c:pt>
                      <c:pt idx="22">
                        <c:v>-1.1111111111111112E-2</c:v>
                      </c:pt>
                      <c:pt idx="23">
                        <c:v>1.1111111111111112E-2</c:v>
                      </c:pt>
                      <c:pt idx="24">
                        <c:v>3.3333333333333333E-2</c:v>
                      </c:pt>
                      <c:pt idx="25">
                        <c:v>5.5555555555555552E-2</c:v>
                      </c:pt>
                      <c:pt idx="26">
                        <c:v>7.7777777777777779E-2</c:v>
                      </c:pt>
                      <c:pt idx="27">
                        <c:v>0.1</c:v>
                      </c:pt>
                      <c:pt idx="28">
                        <c:v>0.12222222222222222</c:v>
                      </c:pt>
                      <c:pt idx="29">
                        <c:v>0.14444444444444443</c:v>
                      </c:pt>
                      <c:pt idx="30">
                        <c:v>0.16666666666666666</c:v>
                      </c:pt>
                      <c:pt idx="31">
                        <c:v>0.18888888888888888</c:v>
                      </c:pt>
                      <c:pt idx="32">
                        <c:v>0.21111111111111111</c:v>
                      </c:pt>
                      <c:pt idx="33">
                        <c:v>0.23333333333333334</c:v>
                      </c:pt>
                      <c:pt idx="34">
                        <c:v>0.25555555555555554</c:v>
                      </c:pt>
                      <c:pt idx="35">
                        <c:v>0.27777777777777779</c:v>
                      </c:pt>
                      <c:pt idx="36">
                        <c:v>0.3</c:v>
                      </c:pt>
                      <c:pt idx="37">
                        <c:v>0.32222222222222224</c:v>
                      </c:pt>
                      <c:pt idx="38">
                        <c:v>0.34444444444444444</c:v>
                      </c:pt>
                      <c:pt idx="39">
                        <c:v>0.36666666666666664</c:v>
                      </c:pt>
                      <c:pt idx="40">
                        <c:v>0.3888888888888889</c:v>
                      </c:pt>
                      <c:pt idx="41">
                        <c:v>0.41111111111111109</c:v>
                      </c:pt>
                      <c:pt idx="42">
                        <c:v>0.43333333333333335</c:v>
                      </c:pt>
                      <c:pt idx="43">
                        <c:v>0.45555555555555555</c:v>
                      </c:pt>
                      <c:pt idx="44">
                        <c:v>0.4777777777777778</c:v>
                      </c:pt>
                      <c:pt idx="45">
                        <c:v>0.5</c:v>
                      </c:pt>
                      <c:pt idx="46">
                        <c:v>0.52222222222222225</c:v>
                      </c:pt>
                      <c:pt idx="47">
                        <c:v>0.5444444444444444</c:v>
                      </c:pt>
                      <c:pt idx="48">
                        <c:v>0.56666666666666665</c:v>
                      </c:pt>
                      <c:pt idx="49">
                        <c:v>0.58888888888888891</c:v>
                      </c:pt>
                      <c:pt idx="50">
                        <c:v>0.61111111111111116</c:v>
                      </c:pt>
                      <c:pt idx="51">
                        <c:v>0.6333333333333333</c:v>
                      </c:pt>
                      <c:pt idx="52">
                        <c:v>0.65555555555555556</c:v>
                      </c:pt>
                      <c:pt idx="53">
                        <c:v>0.67777777777777781</c:v>
                      </c:pt>
                      <c:pt idx="54">
                        <c:v>0.7</c:v>
                      </c:pt>
                      <c:pt idx="55">
                        <c:v>0.72222222222222221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0C5A-4CAE-BFE5-5DABD7406A57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[1]Concept3!$D$65:$D$67</c15:sqref>
                        </c15:formulaRef>
                      </c:ext>
                    </c:extLst>
                    <c:strCache>
                      <c:ptCount val="3"/>
                      <c:pt idx="0">
                        <c:v>FUSELAGE SIZING</c:v>
                      </c:pt>
                      <c:pt idx="1">
                        <c:v>45</c:v>
                      </c:pt>
                      <c:pt idx="2">
                        <c:v>(R/Rmax)^2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[1]Concept3!$B$68:$B$123</c15:sqref>
                        </c15:formulaRef>
                      </c:ext>
                    </c:extLst>
                    <c:numCache>
                      <c:formatCode>General</c:formatCode>
                      <c:ptCount val="56"/>
                      <c:pt idx="0">
                        <c:v>-22.5</c:v>
                      </c:pt>
                      <c:pt idx="1">
                        <c:v>-21.5</c:v>
                      </c:pt>
                      <c:pt idx="2">
                        <c:v>-20.5</c:v>
                      </c:pt>
                      <c:pt idx="3">
                        <c:v>-19.5</c:v>
                      </c:pt>
                      <c:pt idx="4">
                        <c:v>-18.5</c:v>
                      </c:pt>
                      <c:pt idx="5">
                        <c:v>-17.5</c:v>
                      </c:pt>
                      <c:pt idx="6">
                        <c:v>-16.5</c:v>
                      </c:pt>
                      <c:pt idx="7">
                        <c:v>-15.5</c:v>
                      </c:pt>
                      <c:pt idx="8">
                        <c:v>-14.5</c:v>
                      </c:pt>
                      <c:pt idx="9">
                        <c:v>-13.5</c:v>
                      </c:pt>
                      <c:pt idx="10">
                        <c:v>-12.5</c:v>
                      </c:pt>
                      <c:pt idx="11">
                        <c:v>-11.5</c:v>
                      </c:pt>
                      <c:pt idx="12">
                        <c:v>-10.5</c:v>
                      </c:pt>
                      <c:pt idx="13">
                        <c:v>-9.5</c:v>
                      </c:pt>
                      <c:pt idx="14">
                        <c:v>-8.5</c:v>
                      </c:pt>
                      <c:pt idx="15">
                        <c:v>-7.5</c:v>
                      </c:pt>
                      <c:pt idx="16">
                        <c:v>-6.5</c:v>
                      </c:pt>
                      <c:pt idx="17">
                        <c:v>-5.5</c:v>
                      </c:pt>
                      <c:pt idx="18">
                        <c:v>-4.5</c:v>
                      </c:pt>
                      <c:pt idx="19">
                        <c:v>-3.5</c:v>
                      </c:pt>
                      <c:pt idx="20">
                        <c:v>-2.5</c:v>
                      </c:pt>
                      <c:pt idx="21">
                        <c:v>-1.5</c:v>
                      </c:pt>
                      <c:pt idx="22">
                        <c:v>-0.5</c:v>
                      </c:pt>
                      <c:pt idx="23">
                        <c:v>0.5</c:v>
                      </c:pt>
                      <c:pt idx="24">
                        <c:v>1.5</c:v>
                      </c:pt>
                      <c:pt idx="25">
                        <c:v>2.5</c:v>
                      </c:pt>
                      <c:pt idx="26">
                        <c:v>3.5</c:v>
                      </c:pt>
                      <c:pt idx="27">
                        <c:v>4.5</c:v>
                      </c:pt>
                      <c:pt idx="28">
                        <c:v>5.5</c:v>
                      </c:pt>
                      <c:pt idx="29">
                        <c:v>6.5</c:v>
                      </c:pt>
                      <c:pt idx="30">
                        <c:v>7.5</c:v>
                      </c:pt>
                      <c:pt idx="31">
                        <c:v>8.5</c:v>
                      </c:pt>
                      <c:pt idx="32">
                        <c:v>9.5</c:v>
                      </c:pt>
                      <c:pt idx="33">
                        <c:v>10.5</c:v>
                      </c:pt>
                      <c:pt idx="34">
                        <c:v>11.5</c:v>
                      </c:pt>
                      <c:pt idx="35">
                        <c:v>12.5</c:v>
                      </c:pt>
                      <c:pt idx="36">
                        <c:v>13.5</c:v>
                      </c:pt>
                      <c:pt idx="37">
                        <c:v>14.5</c:v>
                      </c:pt>
                      <c:pt idx="38">
                        <c:v>15.5</c:v>
                      </c:pt>
                      <c:pt idx="39">
                        <c:v>16.5</c:v>
                      </c:pt>
                      <c:pt idx="40">
                        <c:v>17.5</c:v>
                      </c:pt>
                      <c:pt idx="41">
                        <c:v>18.5</c:v>
                      </c:pt>
                      <c:pt idx="42">
                        <c:v>19.5</c:v>
                      </c:pt>
                      <c:pt idx="43">
                        <c:v>20.5</c:v>
                      </c:pt>
                      <c:pt idx="44">
                        <c:v>21.5</c:v>
                      </c:pt>
                      <c:pt idx="45">
                        <c:v>22.5</c:v>
                      </c:pt>
                      <c:pt idx="46">
                        <c:v>23.5</c:v>
                      </c:pt>
                      <c:pt idx="47">
                        <c:v>24.5</c:v>
                      </c:pt>
                      <c:pt idx="48">
                        <c:v>25.5</c:v>
                      </c:pt>
                      <c:pt idx="49">
                        <c:v>26.5</c:v>
                      </c:pt>
                      <c:pt idx="50">
                        <c:v>27.5</c:v>
                      </c:pt>
                      <c:pt idx="51">
                        <c:v>28.5</c:v>
                      </c:pt>
                      <c:pt idx="52">
                        <c:v>29.5</c:v>
                      </c:pt>
                      <c:pt idx="53">
                        <c:v>30.5</c:v>
                      </c:pt>
                      <c:pt idx="54">
                        <c:v>31.5</c:v>
                      </c:pt>
                      <c:pt idx="55">
                        <c:v>32.5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[1]Concept3!$D$68:$D$123</c15:sqref>
                        </c15:formulaRef>
                      </c:ext>
                    </c:extLst>
                    <c:numCache>
                      <c:formatCode>General</c:formatCode>
                      <c:ptCount val="56"/>
                      <c:pt idx="0">
                        <c:v>0</c:v>
                      </c:pt>
                      <c:pt idx="1">
                        <c:v>0.1274951989026063</c:v>
                      </c:pt>
                      <c:pt idx="2">
                        <c:v>0.24366529492455424</c:v>
                      </c:pt>
                      <c:pt idx="3">
                        <c:v>0.34903703703703692</c:v>
                      </c:pt>
                      <c:pt idx="4">
                        <c:v>0.44413717421124832</c:v>
                      </c:pt>
                      <c:pt idx="5">
                        <c:v>0.5294924554183813</c:v>
                      </c:pt>
                      <c:pt idx="6">
                        <c:v>0.60562962962962974</c:v>
                      </c:pt>
                      <c:pt idx="7">
                        <c:v>0.6730754458161865</c:v>
                      </c:pt>
                      <c:pt idx="8">
                        <c:v>0.73235665294924546</c:v>
                      </c:pt>
                      <c:pt idx="9">
                        <c:v>0.78400000000000003</c:v>
                      </c:pt>
                      <c:pt idx="10">
                        <c:v>0.82853223593964331</c:v>
                      </c:pt>
                      <c:pt idx="11">
                        <c:v>0.86648010973936906</c:v>
                      </c:pt>
                      <c:pt idx="12">
                        <c:v>0.89837037037037037</c:v>
                      </c:pt>
                      <c:pt idx="13">
                        <c:v>0.92472976680384089</c:v>
                      </c:pt>
                      <c:pt idx="14">
                        <c:v>0.94608504801097393</c:v>
                      </c:pt>
                      <c:pt idx="15">
                        <c:v>0.96296296296296302</c:v>
                      </c:pt>
                      <c:pt idx="16">
                        <c:v>0.97589026063100137</c:v>
                      </c:pt>
                      <c:pt idx="17">
                        <c:v>0.98539368998628263</c:v>
                      </c:pt>
                      <c:pt idx="18">
                        <c:v>0.99199999999999999</c:v>
                      </c:pt>
                      <c:pt idx="19">
                        <c:v>0.996235939643347</c:v>
                      </c:pt>
                      <c:pt idx="20">
                        <c:v>0.99862825788751719</c:v>
                      </c:pt>
                      <c:pt idx="21">
                        <c:v>0.99970370370370365</c:v>
                      </c:pt>
                      <c:pt idx="22">
                        <c:v>0.99998902606310014</c:v>
                      </c:pt>
                      <c:pt idx="23">
                        <c:v>0.99998902606310014</c:v>
                      </c:pt>
                      <c:pt idx="24">
                        <c:v>0.99970370370370365</c:v>
                      </c:pt>
                      <c:pt idx="25">
                        <c:v>0.99862825788751719</c:v>
                      </c:pt>
                      <c:pt idx="26">
                        <c:v>0.996235939643347</c:v>
                      </c:pt>
                      <c:pt idx="27">
                        <c:v>0.99199999999999999</c:v>
                      </c:pt>
                      <c:pt idx="28">
                        <c:v>0.98539368998628263</c:v>
                      </c:pt>
                      <c:pt idx="29">
                        <c:v>0.97589026063100137</c:v>
                      </c:pt>
                      <c:pt idx="30">
                        <c:v>0.96296296296296302</c:v>
                      </c:pt>
                      <c:pt idx="31">
                        <c:v>0.94608504801097393</c:v>
                      </c:pt>
                      <c:pt idx="32">
                        <c:v>0.92472976680384089</c:v>
                      </c:pt>
                      <c:pt idx="33">
                        <c:v>0.89837037037037037</c:v>
                      </c:pt>
                      <c:pt idx="34">
                        <c:v>0.86648010973936906</c:v>
                      </c:pt>
                      <c:pt idx="35">
                        <c:v>0.82853223593964331</c:v>
                      </c:pt>
                      <c:pt idx="36">
                        <c:v>0.78400000000000003</c:v>
                      </c:pt>
                      <c:pt idx="37">
                        <c:v>0.73235665294924546</c:v>
                      </c:pt>
                      <c:pt idx="38">
                        <c:v>0.6730754458161865</c:v>
                      </c:pt>
                      <c:pt idx="39">
                        <c:v>0.60562962962962974</c:v>
                      </c:pt>
                      <c:pt idx="40">
                        <c:v>0.5294924554183813</c:v>
                      </c:pt>
                      <c:pt idx="41">
                        <c:v>0.44413717421124832</c:v>
                      </c:pt>
                      <c:pt idx="42">
                        <c:v>0.34903703703703692</c:v>
                      </c:pt>
                      <c:pt idx="43">
                        <c:v>0.24366529492455424</c:v>
                      </c:pt>
                      <c:pt idx="44">
                        <c:v>0.1274951989026063</c:v>
                      </c:pt>
                      <c:pt idx="45">
                        <c:v>0</c:v>
                      </c:pt>
                      <c:pt idx="46">
                        <c:v>-0.13934705075445852</c:v>
                      </c:pt>
                      <c:pt idx="47">
                        <c:v>-0.29107270233196125</c:v>
                      </c:pt>
                      <c:pt idx="48">
                        <c:v>-0.4557037037037035</c:v>
                      </c:pt>
                      <c:pt idx="49">
                        <c:v>-0.63376680384087836</c:v>
                      </c:pt>
                      <c:pt idx="50">
                        <c:v>-0.82578875171467803</c:v>
                      </c:pt>
                      <c:pt idx="51">
                        <c:v>-1.032296296296296</c:v>
                      </c:pt>
                      <c:pt idx="52">
                        <c:v>-1.2538161865569273</c:v>
                      </c:pt>
                      <c:pt idx="53">
                        <c:v>-1.4908751714677644</c:v>
                      </c:pt>
                      <c:pt idx="54">
                        <c:v>-1.7439999999999989</c:v>
                      </c:pt>
                      <c:pt idx="55">
                        <c:v>-2.0137174211248281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C5A-4CAE-BFE5-5DABD7406A5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[1]Concept3!$E$65:$E$67</c15:sqref>
                        </c15:formulaRef>
                      </c:ext>
                    </c:extLst>
                    <c:strCache>
                      <c:ptCount val="3"/>
                      <c:pt idx="0">
                        <c:v>FUSELAGE SIZING</c:v>
                      </c:pt>
                      <c:pt idx="1">
                        <c:v>45</c:v>
                      </c:pt>
                      <c:pt idx="2">
                        <c:v>S/Smax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[1]Concept3!$B$68:$B$123</c15:sqref>
                        </c15:formulaRef>
                      </c:ext>
                    </c:extLst>
                    <c:numCache>
                      <c:formatCode>General</c:formatCode>
                      <c:ptCount val="56"/>
                      <c:pt idx="0">
                        <c:v>-22.5</c:v>
                      </c:pt>
                      <c:pt idx="1">
                        <c:v>-21.5</c:v>
                      </c:pt>
                      <c:pt idx="2">
                        <c:v>-20.5</c:v>
                      </c:pt>
                      <c:pt idx="3">
                        <c:v>-19.5</c:v>
                      </c:pt>
                      <c:pt idx="4">
                        <c:v>-18.5</c:v>
                      </c:pt>
                      <c:pt idx="5">
                        <c:v>-17.5</c:v>
                      </c:pt>
                      <c:pt idx="6">
                        <c:v>-16.5</c:v>
                      </c:pt>
                      <c:pt idx="7">
                        <c:v>-15.5</c:v>
                      </c:pt>
                      <c:pt idx="8">
                        <c:v>-14.5</c:v>
                      </c:pt>
                      <c:pt idx="9">
                        <c:v>-13.5</c:v>
                      </c:pt>
                      <c:pt idx="10">
                        <c:v>-12.5</c:v>
                      </c:pt>
                      <c:pt idx="11">
                        <c:v>-11.5</c:v>
                      </c:pt>
                      <c:pt idx="12">
                        <c:v>-10.5</c:v>
                      </c:pt>
                      <c:pt idx="13">
                        <c:v>-9.5</c:v>
                      </c:pt>
                      <c:pt idx="14">
                        <c:v>-8.5</c:v>
                      </c:pt>
                      <c:pt idx="15">
                        <c:v>-7.5</c:v>
                      </c:pt>
                      <c:pt idx="16">
                        <c:v>-6.5</c:v>
                      </c:pt>
                      <c:pt idx="17">
                        <c:v>-5.5</c:v>
                      </c:pt>
                      <c:pt idx="18">
                        <c:v>-4.5</c:v>
                      </c:pt>
                      <c:pt idx="19">
                        <c:v>-3.5</c:v>
                      </c:pt>
                      <c:pt idx="20">
                        <c:v>-2.5</c:v>
                      </c:pt>
                      <c:pt idx="21">
                        <c:v>-1.5</c:v>
                      </c:pt>
                      <c:pt idx="22">
                        <c:v>-0.5</c:v>
                      </c:pt>
                      <c:pt idx="23">
                        <c:v>0.5</c:v>
                      </c:pt>
                      <c:pt idx="24">
                        <c:v>1.5</c:v>
                      </c:pt>
                      <c:pt idx="25">
                        <c:v>2.5</c:v>
                      </c:pt>
                      <c:pt idx="26">
                        <c:v>3.5</c:v>
                      </c:pt>
                      <c:pt idx="27">
                        <c:v>4.5</c:v>
                      </c:pt>
                      <c:pt idx="28">
                        <c:v>5.5</c:v>
                      </c:pt>
                      <c:pt idx="29">
                        <c:v>6.5</c:v>
                      </c:pt>
                      <c:pt idx="30">
                        <c:v>7.5</c:v>
                      </c:pt>
                      <c:pt idx="31">
                        <c:v>8.5</c:v>
                      </c:pt>
                      <c:pt idx="32">
                        <c:v>9.5</c:v>
                      </c:pt>
                      <c:pt idx="33">
                        <c:v>10.5</c:v>
                      </c:pt>
                      <c:pt idx="34">
                        <c:v>11.5</c:v>
                      </c:pt>
                      <c:pt idx="35">
                        <c:v>12.5</c:v>
                      </c:pt>
                      <c:pt idx="36">
                        <c:v>13.5</c:v>
                      </c:pt>
                      <c:pt idx="37">
                        <c:v>14.5</c:v>
                      </c:pt>
                      <c:pt idx="38">
                        <c:v>15.5</c:v>
                      </c:pt>
                      <c:pt idx="39">
                        <c:v>16.5</c:v>
                      </c:pt>
                      <c:pt idx="40">
                        <c:v>17.5</c:v>
                      </c:pt>
                      <c:pt idx="41">
                        <c:v>18.5</c:v>
                      </c:pt>
                      <c:pt idx="42">
                        <c:v>19.5</c:v>
                      </c:pt>
                      <c:pt idx="43">
                        <c:v>20.5</c:v>
                      </c:pt>
                      <c:pt idx="44">
                        <c:v>21.5</c:v>
                      </c:pt>
                      <c:pt idx="45">
                        <c:v>22.5</c:v>
                      </c:pt>
                      <c:pt idx="46">
                        <c:v>23.5</c:v>
                      </c:pt>
                      <c:pt idx="47">
                        <c:v>24.5</c:v>
                      </c:pt>
                      <c:pt idx="48">
                        <c:v>25.5</c:v>
                      </c:pt>
                      <c:pt idx="49">
                        <c:v>26.5</c:v>
                      </c:pt>
                      <c:pt idx="50">
                        <c:v>27.5</c:v>
                      </c:pt>
                      <c:pt idx="51">
                        <c:v>28.5</c:v>
                      </c:pt>
                      <c:pt idx="52">
                        <c:v>29.5</c:v>
                      </c:pt>
                      <c:pt idx="53">
                        <c:v>30.5</c:v>
                      </c:pt>
                      <c:pt idx="54">
                        <c:v>31.5</c:v>
                      </c:pt>
                      <c:pt idx="55">
                        <c:v>32.5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[1]Concept3!$E$68:$E$123</c15:sqref>
                        </c15:formulaRef>
                      </c:ext>
                    </c:extLst>
                    <c:numCache>
                      <c:formatCode>General</c:formatCode>
                      <c:ptCount val="56"/>
                      <c:pt idx="0">
                        <c:v>0</c:v>
                      </c:pt>
                      <c:pt idx="1">
                        <c:v>1.752945823491692E-2</c:v>
                      </c:pt>
                      <c:pt idx="2">
                        <c:v>6.4027742112482869E-2</c:v>
                      </c:pt>
                      <c:pt idx="3">
                        <c:v>0.13137836686390522</c:v>
                      </c:pt>
                      <c:pt idx="4">
                        <c:v>0.2127233102328715</c:v>
                      </c:pt>
                      <c:pt idx="5">
                        <c:v>0.3023433251353479</c:v>
                      </c:pt>
                      <c:pt idx="6">
                        <c:v>0.39554423668639066</c:v>
                      </c:pt>
                      <c:pt idx="7">
                        <c:v>0.48854922359396419</c:v>
                      </c:pt>
                      <c:pt idx="8">
                        <c:v>0.57839708391977329</c:v>
                      </c:pt>
                      <c:pt idx="9">
                        <c:v>0.66284648520710066</c:v>
                      </c:pt>
                      <c:pt idx="10">
                        <c:v>0.74028619897565751</c:v>
                      </c:pt>
                      <c:pt idx="11">
                        <c:v>0.80965131958344505</c:v>
                      </c:pt>
                      <c:pt idx="12">
                        <c:v>0.87034546745562125</c:v>
                      </c:pt>
                      <c:pt idx="13">
                        <c:v>0.92216897668038411</c:v>
                      </c:pt>
                      <c:pt idx="14">
                        <c:v>0.96525306697185886</c:v>
                      </c:pt>
                      <c:pt idx="15">
                        <c:v>1</c:v>
                      </c:pt>
                      <c:pt idx="16">
                        <c:v>1.0270292200874993</c:v>
                      </c:pt>
                      <c:pt idx="17">
                        <c:v>1.0471294792737071</c:v>
                      </c:pt>
                      <c:pt idx="18">
                        <c:v>1.0612169467455619</c:v>
                      </c:pt>
                      <c:pt idx="19">
                        <c:v>1.0702993026355303</c:v>
                      </c:pt>
                      <c:pt idx="20">
                        <c:v>1.0754458161865568</c:v>
                      </c:pt>
                      <c:pt idx="21">
                        <c:v>1.0777634082840235</c:v>
                      </c:pt>
                      <c:pt idx="22">
                        <c:v>1.0783786983547212</c:v>
                      </c:pt>
                      <c:pt idx="23">
                        <c:v>1.0783786983547212</c:v>
                      </c:pt>
                      <c:pt idx="24">
                        <c:v>1.0777634082840235</c:v>
                      </c:pt>
                      <c:pt idx="25">
                        <c:v>1.0754458161865568</c:v>
                      </c:pt>
                      <c:pt idx="26">
                        <c:v>1.0702993026355303</c:v>
                      </c:pt>
                      <c:pt idx="27">
                        <c:v>1.0612169467455619</c:v>
                      </c:pt>
                      <c:pt idx="28">
                        <c:v>1.0471294792737071</c:v>
                      </c:pt>
                      <c:pt idx="29">
                        <c:v>1.0270292200874993</c:v>
                      </c:pt>
                      <c:pt idx="30">
                        <c:v>1</c:v>
                      </c:pt>
                      <c:pt idx="31">
                        <c:v>0.96525306697185886</c:v>
                      </c:pt>
                      <c:pt idx="32">
                        <c:v>0.92216897668038411</c:v>
                      </c:pt>
                      <c:pt idx="33">
                        <c:v>0.87034546745562125</c:v>
                      </c:pt>
                      <c:pt idx="34">
                        <c:v>0.80965131958344505</c:v>
                      </c:pt>
                      <c:pt idx="35">
                        <c:v>0.74028619897565751</c:v>
                      </c:pt>
                      <c:pt idx="36">
                        <c:v>0.66284648520710066</c:v>
                      </c:pt>
                      <c:pt idx="37">
                        <c:v>0.57839708391977329</c:v>
                      </c:pt>
                      <c:pt idx="38">
                        <c:v>0.48854922359396419</c:v>
                      </c:pt>
                      <c:pt idx="39">
                        <c:v>0.39554423668639066</c:v>
                      </c:pt>
                      <c:pt idx="40">
                        <c:v>0.3023433251353479</c:v>
                      </c:pt>
                      <c:pt idx="41">
                        <c:v>0.2127233102328715</c:v>
                      </c:pt>
                      <c:pt idx="42">
                        <c:v>0.13137836686390522</c:v>
                      </c:pt>
                      <c:pt idx="43">
                        <c:v>6.4027742112482869E-2</c:v>
                      </c:pt>
                      <c:pt idx="44">
                        <c:v>1.752945823491692E-2</c:v>
                      </c:pt>
                      <c:pt idx="45">
                        <c:v>0</c:v>
                      </c:pt>
                      <c:pt idx="46">
                        <c:v>2.0939986396214427E-2</c:v>
                      </c:pt>
                      <c:pt idx="47">
                        <c:v>9.136582670595185E-2</c:v>
                      </c:pt>
                      <c:pt idx="48">
                        <c:v>0.22394736094674536</c:v>
                      </c:pt>
                      <c:pt idx="49">
                        <c:v>0.43315148467950804</c:v>
                      </c:pt>
                      <c:pt idx="50">
                        <c:v>0.73539175818378155</c:v>
                      </c:pt>
                      <c:pt idx="51">
                        <c:v>1.1491839999999993</c:v>
                      </c:pt>
                      <c:pt idx="52">
                        <c:v>1.6953078648387594</c:v>
                      </c:pt>
                      <c:pt idx="53">
                        <c:v>2.3969744058570961</c:v>
                      </c:pt>
                      <c:pt idx="54">
                        <c:v>3.279999621301771</c:v>
                      </c:pt>
                      <c:pt idx="55">
                        <c:v>4.3729839855195953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C5A-4CAE-BFE5-5DABD7406A57}"/>
                  </c:ext>
                </c:extLst>
              </c15:ser>
            </c15:filteredScatterSeries>
          </c:ext>
        </c:extLst>
      </c:scatterChart>
      <c:valAx>
        <c:axId val="599783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787952"/>
        <c:crosses val="autoZero"/>
        <c:crossBetween val="midCat"/>
      </c:valAx>
      <c:valAx>
        <c:axId val="59978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783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</xdr:colOff>
      <xdr:row>68</xdr:row>
      <xdr:rowOff>7620</xdr:rowOff>
    </xdr:from>
    <xdr:to>
      <xdr:col>16</xdr:col>
      <xdr:colOff>320040</xdr:colOff>
      <xdr:row>83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C715C7-2792-48CE-81C5-9F6929116F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83</xdr:row>
      <xdr:rowOff>175260</xdr:rowOff>
    </xdr:from>
    <xdr:to>
      <xdr:col>16</xdr:col>
      <xdr:colOff>304800</xdr:colOff>
      <xdr:row>98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FAF97B-576A-43BC-932B-42C1D3BAC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12</xdr:row>
      <xdr:rowOff>30480</xdr:rowOff>
    </xdr:from>
    <xdr:to>
      <xdr:col>19</xdr:col>
      <xdr:colOff>158818</xdr:colOff>
      <xdr:row>18</xdr:row>
      <xdr:rowOff>38254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91C1612-4206-4AB3-84A3-432C21EDB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05600" y="2318385"/>
          <a:ext cx="5037523" cy="1148869"/>
        </a:xfrm>
        <a:prstGeom prst="rect">
          <a:avLst/>
        </a:prstGeom>
      </xdr:spPr>
    </xdr:pic>
    <xdr:clientData/>
  </xdr:twoCellAnchor>
  <xdr:twoCellAnchor editAs="oneCell">
    <xdr:from>
      <xdr:col>11</xdr:col>
      <xdr:colOff>83820</xdr:colOff>
      <xdr:row>18</xdr:row>
      <xdr:rowOff>129540</xdr:rowOff>
    </xdr:from>
    <xdr:to>
      <xdr:col>19</xdr:col>
      <xdr:colOff>494133</xdr:colOff>
      <xdr:row>25</xdr:row>
      <xdr:rowOff>110665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15BED7-71C0-4A71-B216-AC48413B3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87515" y="3562350"/>
          <a:ext cx="5289018" cy="13089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29</xdr:col>
      <xdr:colOff>147386</xdr:colOff>
      <xdr:row>26</xdr:row>
      <xdr:rowOff>30637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E5AD1F0-3A74-45FB-BC45-7356F44E9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01600" y="3810000"/>
          <a:ext cx="5022281" cy="117173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25</xdr:col>
      <xdr:colOff>369961</xdr:colOff>
      <xdr:row>31</xdr:row>
      <xdr:rowOff>76338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956514F-F554-4BF7-99DF-F1D53F08B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801600" y="4953000"/>
          <a:ext cx="2804551" cy="102883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Team7_Files/Aerodynamics/MATLAB_SCRIPTS_USE_THIS_ONE_USE_THIS_ONE/For_Avery/design_test.xlsx" TargetMode="External"/><Relationship Id="rId2" Type="http://schemas.openxmlformats.org/officeDocument/2006/relationships/externalLinkPath" Target="file:///C:\Users\John%20Freeman\Desktop\Academics\Team7_Files\Aerodynamics\MATLAB_SCRIPTS_USE_THIS_ONE_USE_THIS_ONE\For_Avery\design_test.xlsx" TargetMode="External"/><Relationship Id="rId1" Type="http://schemas.openxmlformats.org/officeDocument/2006/relationships/externalLinkPath" Target="/Users/John%20Freeman/Desktop/Academics/Team7_Files/Aerodynamics/MATLAB_SCRIPTS_USE_THIS_ONE_USE_THIS_ONE/For_Avery/design_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cept1"/>
      <sheetName val="Concept2"/>
      <sheetName val="Concept3"/>
      <sheetName val="Concept4"/>
      <sheetName val="F-15E TestCase"/>
      <sheetName val="F-16 TestCase"/>
    </sheetNames>
    <sheetDataSet>
      <sheetData sheetId="0"/>
      <sheetData sheetId="1"/>
      <sheetData sheetId="2">
        <row r="66">
          <cell r="C66">
            <v>45</v>
          </cell>
        </row>
        <row r="67">
          <cell r="C67" t="str">
            <v>x/L</v>
          </cell>
          <cell r="D67" t="str">
            <v>(R/Rmax)^2</v>
          </cell>
          <cell r="E67" t="str">
            <v>S/Smax</v>
          </cell>
          <cell r="F67" t="str">
            <v>S</v>
          </cell>
        </row>
        <row r="68">
          <cell r="B68">
            <v>-22.5</v>
          </cell>
          <cell r="C68">
            <v>-0.5</v>
          </cell>
          <cell r="D68">
            <v>0</v>
          </cell>
          <cell r="E68">
            <v>0</v>
          </cell>
          <cell r="F68">
            <v>0</v>
          </cell>
        </row>
        <row r="69">
          <cell r="B69">
            <v>-21.5</v>
          </cell>
          <cell r="C69">
            <v>-0.4777777777777778</v>
          </cell>
          <cell r="D69">
            <v>0.1274951989026063</v>
          </cell>
          <cell r="E69">
            <v>1.752945823491692E-2</v>
          </cell>
          <cell r="F69">
            <v>1.29945329410039</v>
          </cell>
        </row>
        <row r="70">
          <cell r="B70">
            <v>-20.5</v>
          </cell>
          <cell r="C70">
            <v>-0.45555555555555555</v>
          </cell>
          <cell r="D70">
            <v>0.24366529492455424</v>
          </cell>
          <cell r="E70">
            <v>6.4027742112482869E-2</v>
          </cell>
          <cell r="F70">
            <v>4.7463566350355295</v>
          </cell>
        </row>
        <row r="71">
          <cell r="B71">
            <v>-19.5</v>
          </cell>
          <cell r="C71">
            <v>-0.43333333333333335</v>
          </cell>
          <cell r="D71">
            <v>0.34903703703703692</v>
          </cell>
          <cell r="E71">
            <v>0.13137836686390522</v>
          </cell>
          <cell r="F71">
            <v>9.7390375279695736</v>
          </cell>
        </row>
        <row r="72">
          <cell r="B72">
            <v>-18.5</v>
          </cell>
          <cell r="C72">
            <v>-0.41111111111111109</v>
          </cell>
          <cell r="D72">
            <v>0.44413717421124832</v>
          </cell>
          <cell r="E72">
            <v>0.2127233102328715</v>
          </cell>
          <cell r="F72">
            <v>15.769112913223708</v>
          </cell>
        </row>
        <row r="73">
          <cell r="B73">
            <v>-17.5</v>
          </cell>
          <cell r="C73">
            <v>-0.3888888888888889</v>
          </cell>
          <cell r="D73">
            <v>0.5294924554183813</v>
          </cell>
          <cell r="E73">
            <v>0.3023433251353479</v>
          </cell>
          <cell r="F73">
            <v>22.412616780923301</v>
          </cell>
        </row>
        <row r="74">
          <cell r="B74">
            <v>-16.5</v>
          </cell>
          <cell r="C74">
            <v>-0.36666666666666664</v>
          </cell>
          <cell r="D74">
            <v>0.60562962962962974</v>
          </cell>
          <cell r="E74">
            <v>0.39554423668639066</v>
          </cell>
          <cell r="F74">
            <v>29.321571404912888</v>
          </cell>
        </row>
        <row r="75">
          <cell r="B75">
            <v>-15.5</v>
          </cell>
          <cell r="C75">
            <v>-0.34444444444444444</v>
          </cell>
          <cell r="D75">
            <v>0.6730754458161865</v>
          </cell>
          <cell r="E75">
            <v>0.48854922359396419</v>
          </cell>
          <cell r="F75">
            <v>36.216002195938579</v>
          </cell>
        </row>
        <row r="76">
          <cell r="B76">
            <v>-14.5</v>
          </cell>
          <cell r="C76">
            <v>-0.32222222222222224</v>
          </cell>
          <cell r="D76">
            <v>0.73235665294924546</v>
          </cell>
          <cell r="E76">
            <v>0.57839708391977329</v>
          </cell>
          <cell r="F76">
            <v>42.876396174098382</v>
          </cell>
        </row>
        <row r="77">
          <cell r="B77">
            <v>-13.5</v>
          </cell>
          <cell r="C77">
            <v>-0.3</v>
          </cell>
          <cell r="D77">
            <v>0.78400000000000003</v>
          </cell>
          <cell r="E77">
            <v>0.66284648520710066</v>
          </cell>
          <cell r="F77">
            <v>49.136604060559812</v>
          </cell>
        </row>
        <row r="78">
          <cell r="B78">
            <v>-12.5</v>
          </cell>
          <cell r="C78">
            <v>-0.27777777777777779</v>
          </cell>
          <cell r="D78">
            <v>0.82853223593964331</v>
          </cell>
          <cell r="E78">
            <v>0.74028619897565751</v>
          </cell>
          <cell r="F78">
            <v>54.877185988545421</v>
          </cell>
        </row>
        <row r="79">
          <cell r="B79">
            <v>-11.5</v>
          </cell>
          <cell r="C79">
            <v>-0.25555555555555554</v>
          </cell>
          <cell r="D79">
            <v>0.86648010973936906</v>
          </cell>
          <cell r="E79">
            <v>0.80965131958344505</v>
          </cell>
          <cell r="F79">
            <v>60.019200833585927</v>
          </cell>
        </row>
        <row r="80">
          <cell r="B80">
            <v>-10.5</v>
          </cell>
          <cell r="C80">
            <v>-0.23333333333333334</v>
          </cell>
          <cell r="D80">
            <v>0.89837037037037037</v>
          </cell>
          <cell r="E80">
            <v>0.87034546745562125</v>
          </cell>
          <cell r="F80">
            <v>64.518439163040739</v>
          </cell>
        </row>
        <row r="81">
          <cell r="B81">
            <v>-9.5</v>
          </cell>
          <cell r="C81">
            <v>-0.21111111111111111</v>
          </cell>
          <cell r="D81">
            <v>0.92472976680384089</v>
          </cell>
          <cell r="E81">
            <v>0.92216897668038411</v>
          </cell>
          <cell r="F81">
            <v>68.360099804886545</v>
          </cell>
        </row>
        <row r="82">
          <cell r="B82">
            <v>-8.5</v>
          </cell>
          <cell r="C82">
            <v>-0.18888888888888888</v>
          </cell>
          <cell r="D82">
            <v>0.94608504801097393</v>
          </cell>
          <cell r="E82">
            <v>0.96525306697185886</v>
          </cell>
          <cell r="F82">
            <v>71.553910035773058</v>
          </cell>
        </row>
        <row r="83">
          <cell r="B83">
            <v>-7.5</v>
          </cell>
          <cell r="C83">
            <v>-0.16666666666666666</v>
          </cell>
          <cell r="D83">
            <v>0.96296296296296302</v>
          </cell>
          <cell r="E83">
            <v>1</v>
          </cell>
          <cell r="F83">
            <v>74.129689388346847</v>
          </cell>
        </row>
        <row r="84">
          <cell r="B84">
            <v>-6.5</v>
          </cell>
          <cell r="C84">
            <v>-0.14444444444444443</v>
          </cell>
          <cell r="D84">
            <v>0.97589026063100137</v>
          </cell>
          <cell r="E84">
            <v>1.0270292200874993</v>
          </cell>
          <cell r="F84">
            <v>76.133357077842433</v>
          </cell>
        </row>
        <row r="85">
          <cell r="B85">
            <v>-5.5</v>
          </cell>
          <cell r="C85">
            <v>-0.12222222222222222</v>
          </cell>
          <cell r="D85">
            <v>0.98539368998628263</v>
          </cell>
          <cell r="E85">
            <v>1.0471294792737071</v>
          </cell>
          <cell r="F85">
            <v>77.623383047941289</v>
          </cell>
        </row>
        <row r="86">
          <cell r="B86">
            <v>-4.5</v>
          </cell>
          <cell r="C86">
            <v>-0.1</v>
          </cell>
          <cell r="D86">
            <v>0.99199999999999999</v>
          </cell>
          <cell r="E86">
            <v>1.0612169467455619</v>
          </cell>
          <cell r="F86">
            <v>78.667682635898316</v>
          </cell>
        </row>
        <row r="87">
          <cell r="B87">
            <v>-3.5</v>
          </cell>
          <cell r="C87">
            <v>-7.7777777777777779E-2</v>
          </cell>
          <cell r="D87">
            <v>0.996235939643347</v>
          </cell>
          <cell r="E87">
            <v>1.0702993026355303</v>
          </cell>
          <cell r="F87">
            <v>79.340954856936108</v>
          </cell>
        </row>
        <row r="88">
          <cell r="B88">
            <v>-2.5</v>
          </cell>
          <cell r="C88">
            <v>-5.5555555555555552E-2</v>
          </cell>
          <cell r="D88">
            <v>0.99862825788751719</v>
          </cell>
          <cell r="E88">
            <v>1.0754458161865568</v>
          </cell>
          <cell r="F88">
            <v>79.722464307906606</v>
          </cell>
        </row>
        <row r="89">
          <cell r="B89">
            <v>-1.5</v>
          </cell>
          <cell r="C89">
            <v>-3.3333333333333333E-2</v>
          </cell>
          <cell r="D89">
            <v>0.99970370370370365</v>
          </cell>
          <cell r="E89">
            <v>1.0777634082840235</v>
          </cell>
          <cell r="F89">
            <v>79.894266690220704</v>
          </cell>
        </row>
        <row r="90">
          <cell r="B90">
            <v>-0.5</v>
          </cell>
          <cell r="C90">
            <v>-1.1111111111111112E-2</v>
          </cell>
          <cell r="D90">
            <v>0.99998902606310014</v>
          </cell>
          <cell r="E90">
            <v>1.0783786983547212</v>
          </cell>
          <cell r="F90">
            <v>79.939877952045265</v>
          </cell>
        </row>
        <row r="91">
          <cell r="B91">
            <v>0.5</v>
          </cell>
          <cell r="C91">
            <v>1.1111111111111112E-2</v>
          </cell>
          <cell r="D91">
            <v>0.99998902606310014</v>
          </cell>
          <cell r="E91">
            <v>1.0783786983547212</v>
          </cell>
          <cell r="F91">
            <v>79.939877952045265</v>
          </cell>
        </row>
        <row r="92">
          <cell r="B92">
            <v>1.5</v>
          </cell>
          <cell r="C92">
            <v>3.3333333333333333E-2</v>
          </cell>
          <cell r="D92">
            <v>0.99970370370370365</v>
          </cell>
          <cell r="E92">
            <v>1.0777634082840235</v>
          </cell>
          <cell r="F92">
            <v>79.894266690220704</v>
          </cell>
        </row>
        <row r="93">
          <cell r="B93">
            <v>2.5</v>
          </cell>
          <cell r="C93">
            <v>5.5555555555555552E-2</v>
          </cell>
          <cell r="D93">
            <v>0.99862825788751719</v>
          </cell>
          <cell r="E93">
            <v>1.0754458161865568</v>
          </cell>
          <cell r="F93">
            <v>79.722464307906606</v>
          </cell>
        </row>
        <row r="94">
          <cell r="B94">
            <v>3.5</v>
          </cell>
          <cell r="C94">
            <v>7.7777777777777779E-2</v>
          </cell>
          <cell r="D94">
            <v>0.996235939643347</v>
          </cell>
          <cell r="E94">
            <v>1.0702993026355303</v>
          </cell>
          <cell r="F94">
            <v>79.340954856936108</v>
          </cell>
        </row>
        <row r="95">
          <cell r="B95">
            <v>4.5</v>
          </cell>
          <cell r="C95">
            <v>0.1</v>
          </cell>
          <cell r="D95">
            <v>0.99199999999999999</v>
          </cell>
          <cell r="E95">
            <v>1.0612169467455619</v>
          </cell>
          <cell r="F95">
            <v>78.667682635898316</v>
          </cell>
        </row>
        <row r="96">
          <cell r="B96">
            <v>5.5</v>
          </cell>
          <cell r="C96">
            <v>0.12222222222222222</v>
          </cell>
          <cell r="D96">
            <v>0.98539368998628263</v>
          </cell>
          <cell r="E96">
            <v>1.0471294792737071</v>
          </cell>
          <cell r="F96">
            <v>77.623383047941289</v>
          </cell>
        </row>
        <row r="97">
          <cell r="B97">
            <v>6.5</v>
          </cell>
          <cell r="C97">
            <v>0.14444444444444443</v>
          </cell>
          <cell r="D97">
            <v>0.97589026063100137</v>
          </cell>
          <cell r="E97">
            <v>1.0270292200874993</v>
          </cell>
          <cell r="F97">
            <v>76.133357077842433</v>
          </cell>
        </row>
        <row r="98">
          <cell r="B98">
            <v>7.5</v>
          </cell>
          <cell r="C98">
            <v>0.16666666666666666</v>
          </cell>
          <cell r="D98">
            <v>0.96296296296296302</v>
          </cell>
          <cell r="E98">
            <v>1</v>
          </cell>
          <cell r="F98">
            <v>74.129689388346847</v>
          </cell>
        </row>
        <row r="99">
          <cell r="B99">
            <v>8.5</v>
          </cell>
          <cell r="C99">
            <v>0.18888888888888888</v>
          </cell>
          <cell r="D99">
            <v>0.94608504801097393</v>
          </cell>
          <cell r="E99">
            <v>0.96525306697185886</v>
          </cell>
          <cell r="F99">
            <v>71.553910035773058</v>
          </cell>
        </row>
        <row r="100">
          <cell r="B100">
            <v>9.5</v>
          </cell>
          <cell r="C100">
            <v>0.21111111111111111</v>
          </cell>
          <cell r="D100">
            <v>0.92472976680384089</v>
          </cell>
          <cell r="E100">
            <v>0.92216897668038411</v>
          </cell>
          <cell r="F100">
            <v>68.360099804886545</v>
          </cell>
        </row>
        <row r="101">
          <cell r="B101">
            <v>10.5</v>
          </cell>
          <cell r="C101">
            <v>0.23333333333333334</v>
          </cell>
          <cell r="D101">
            <v>0.89837037037037037</v>
          </cell>
          <cell r="E101">
            <v>0.87034546745562125</v>
          </cell>
          <cell r="F101">
            <v>64.518439163040739</v>
          </cell>
        </row>
        <row r="102">
          <cell r="B102">
            <v>11.5</v>
          </cell>
          <cell r="C102">
            <v>0.25555555555555554</v>
          </cell>
          <cell r="D102">
            <v>0.86648010973936906</v>
          </cell>
          <cell r="E102">
            <v>0.80965131958344505</v>
          </cell>
          <cell r="F102">
            <v>60.019200833585927</v>
          </cell>
        </row>
        <row r="103">
          <cell r="B103">
            <v>12.5</v>
          </cell>
          <cell r="C103">
            <v>0.27777777777777779</v>
          </cell>
          <cell r="D103">
            <v>0.82853223593964331</v>
          </cell>
          <cell r="E103">
            <v>0.74028619897565751</v>
          </cell>
          <cell r="F103">
            <v>54.877185988545421</v>
          </cell>
        </row>
        <row r="104">
          <cell r="B104">
            <v>13.5</v>
          </cell>
          <cell r="C104">
            <v>0.3</v>
          </cell>
          <cell r="D104">
            <v>0.78400000000000003</v>
          </cell>
          <cell r="E104">
            <v>0.66284648520710066</v>
          </cell>
          <cell r="F104">
            <v>49.136604060559812</v>
          </cell>
        </row>
        <row r="105">
          <cell r="B105">
            <v>14.5</v>
          </cell>
          <cell r="C105">
            <v>0.32222222222222224</v>
          </cell>
          <cell r="D105">
            <v>0.73235665294924546</v>
          </cell>
          <cell r="E105">
            <v>0.57839708391977329</v>
          </cell>
          <cell r="F105">
            <v>42.876396174098382</v>
          </cell>
        </row>
        <row r="106">
          <cell r="B106">
            <v>15.5</v>
          </cell>
          <cell r="C106">
            <v>0.34444444444444444</v>
          </cell>
          <cell r="D106">
            <v>0.6730754458161865</v>
          </cell>
          <cell r="E106">
            <v>0.48854922359396419</v>
          </cell>
          <cell r="F106">
            <v>36.216002195938579</v>
          </cell>
        </row>
        <row r="107">
          <cell r="B107">
            <v>16.5</v>
          </cell>
          <cell r="C107">
            <v>0.36666666666666664</v>
          </cell>
          <cell r="D107">
            <v>0.60562962962962974</v>
          </cell>
          <cell r="E107">
            <v>0.39554423668639066</v>
          </cell>
          <cell r="F107">
            <v>29.321571404912888</v>
          </cell>
        </row>
        <row r="108">
          <cell r="B108">
            <v>17.5</v>
          </cell>
          <cell r="C108">
            <v>0.3888888888888889</v>
          </cell>
          <cell r="D108">
            <v>0.5294924554183813</v>
          </cell>
          <cell r="E108">
            <v>0.3023433251353479</v>
          </cell>
          <cell r="F108">
            <v>22.412616780923301</v>
          </cell>
        </row>
        <row r="109">
          <cell r="B109">
            <v>18.5</v>
          </cell>
          <cell r="C109">
            <v>0.41111111111111109</v>
          </cell>
          <cell r="D109">
            <v>0.44413717421124832</v>
          </cell>
          <cell r="E109">
            <v>0.2127233102328715</v>
          </cell>
          <cell r="F109">
            <v>15.769112913223708</v>
          </cell>
        </row>
        <row r="110">
          <cell r="B110">
            <v>19.5</v>
          </cell>
          <cell r="C110">
            <v>0.43333333333333335</v>
          </cell>
          <cell r="D110">
            <v>0.34903703703703692</v>
          </cell>
          <cell r="E110">
            <v>0.13137836686390522</v>
          </cell>
          <cell r="F110">
            <v>9.7390375279695736</v>
          </cell>
        </row>
        <row r="111">
          <cell r="B111">
            <v>20.5</v>
          </cell>
          <cell r="C111">
            <v>0.45555555555555555</v>
          </cell>
          <cell r="D111">
            <v>0.24366529492455424</v>
          </cell>
          <cell r="E111">
            <v>6.4027742112482869E-2</v>
          </cell>
          <cell r="F111">
            <v>4.7463566350355295</v>
          </cell>
        </row>
        <row r="112">
          <cell r="B112">
            <v>21.5</v>
          </cell>
          <cell r="C112">
            <v>0.4777777777777778</v>
          </cell>
          <cell r="D112">
            <v>0.1274951989026063</v>
          </cell>
          <cell r="E112">
            <v>1.752945823491692E-2</v>
          </cell>
          <cell r="F112">
            <v>1.29945329410039</v>
          </cell>
        </row>
        <row r="113">
          <cell r="B113">
            <v>22.5</v>
          </cell>
          <cell r="C113">
            <v>0.5</v>
          </cell>
          <cell r="D113">
            <v>0</v>
          </cell>
          <cell r="E113">
            <v>0</v>
          </cell>
          <cell r="F113">
            <v>0</v>
          </cell>
        </row>
        <row r="114">
          <cell r="B114">
            <v>23.5</v>
          </cell>
          <cell r="C114">
            <v>0.52222222222222225</v>
          </cell>
          <cell r="D114">
            <v>-0.13934705075445852</v>
          </cell>
          <cell r="E114">
            <v>2.0939986396214427E-2</v>
          </cell>
          <cell r="F114">
            <v>1.5522746873475839</v>
          </cell>
        </row>
        <row r="115">
          <cell r="B115">
            <v>24.5</v>
          </cell>
          <cell r="C115">
            <v>0.5444444444444444</v>
          </cell>
          <cell r="D115">
            <v>-0.29107270233196125</v>
          </cell>
          <cell r="E115">
            <v>9.136582670595185E-2</v>
          </cell>
          <cell r="F115">
            <v>6.7729203544217356</v>
          </cell>
        </row>
        <row r="116">
          <cell r="B116">
            <v>25.5</v>
          </cell>
          <cell r="C116">
            <v>0.56666666666666665</v>
          </cell>
          <cell r="D116">
            <v>-0.4557037037037035</v>
          </cell>
          <cell r="E116">
            <v>0.22394736094674536</v>
          </cell>
          <cell r="F116">
            <v>16.60114830632223</v>
          </cell>
        </row>
        <row r="117">
          <cell r="B117">
            <v>26.5</v>
          </cell>
          <cell r="C117">
            <v>0.58888888888888891</v>
          </cell>
          <cell r="D117">
            <v>-0.63376680384087836</v>
          </cell>
          <cell r="E117">
            <v>0.43315148467950804</v>
          </cell>
          <cell r="F117">
            <v>32.109385017393208</v>
          </cell>
        </row>
        <row r="118">
          <cell r="B118">
            <v>27.5</v>
          </cell>
          <cell r="C118">
            <v>0.61111111111111116</v>
          </cell>
          <cell r="D118">
            <v>-0.82578875171467803</v>
          </cell>
          <cell r="E118">
            <v>0.73539175818378155</v>
          </cell>
          <cell r="F118">
            <v>54.514362612913999</v>
          </cell>
        </row>
        <row r="119">
          <cell r="B119">
            <v>28.5</v>
          </cell>
          <cell r="C119">
            <v>0.6333333333333333</v>
          </cell>
          <cell r="D119">
            <v>-1.032296296296296</v>
          </cell>
          <cell r="E119">
            <v>1.1491839999999993</v>
          </cell>
          <cell r="F119">
            <v>85.18865297005793</v>
          </cell>
        </row>
        <row r="120">
          <cell r="B120">
            <v>29.5</v>
          </cell>
          <cell r="C120">
            <v>0.65555555555555556</v>
          </cell>
          <cell r="D120">
            <v>-1.2538161865569273</v>
          </cell>
          <cell r="E120">
            <v>1.6953078648387594</v>
          </cell>
          <cell r="F120">
            <v>125.67264543811874</v>
          </cell>
        </row>
        <row r="121">
          <cell r="B121">
            <v>30.5</v>
          </cell>
          <cell r="C121">
            <v>0.67777777777777781</v>
          </cell>
          <cell r="D121">
            <v>-1.4908751714677644</v>
          </cell>
          <cell r="E121">
            <v>2.3969744058570961</v>
          </cell>
          <cell r="F121">
            <v>177.68696817800375</v>
          </cell>
        </row>
        <row r="122">
          <cell r="B122">
            <v>31.5</v>
          </cell>
          <cell r="C122">
            <v>0.7</v>
          </cell>
          <cell r="D122">
            <v>-1.7439999999999989</v>
          </cell>
          <cell r="E122">
            <v>3.279999621301771</v>
          </cell>
          <cell r="F122">
            <v>243.14535312099557</v>
          </cell>
        </row>
        <row r="123">
          <cell r="B123">
            <v>32.5</v>
          </cell>
          <cell r="C123">
            <v>0.72222222222222221</v>
          </cell>
          <cell r="D123">
            <v>-2.0137174211248281</v>
          </cell>
          <cell r="E123">
            <v>4.3729839855195953</v>
          </cell>
          <cell r="F123">
            <v>324.16794454678262</v>
          </cell>
        </row>
        <row r="124">
          <cell r="B124">
            <v>33.5</v>
          </cell>
          <cell r="E124">
            <v>5.7074979643347046</v>
          </cell>
          <cell r="F124">
            <v>423.09505128075358</v>
          </cell>
        </row>
        <row r="125">
          <cell r="B125">
            <v>34.5</v>
          </cell>
          <cell r="E125">
            <v>7.3182735147929021</v>
          </cell>
          <cell r="F125">
            <v>542.50134251056318</v>
          </cell>
        </row>
        <row r="126">
          <cell r="B126">
            <v>35.5</v>
          </cell>
          <cell r="E126">
            <v>9.2434015692729723</v>
          </cell>
          <cell r="F126">
            <v>685.21048722196326</v>
          </cell>
        </row>
        <row r="127">
          <cell r="B127">
            <v>36.5</v>
          </cell>
          <cell r="E127">
            <v>11.524535503965065</v>
          </cell>
          <cell r="F127">
            <v>854.3102372539056</v>
          </cell>
        </row>
        <row r="128">
          <cell r="B128">
            <v>37.5</v>
          </cell>
          <cell r="E128">
            <v>14.207100591715975</v>
          </cell>
          <cell r="F128">
            <v>1053.1679539729039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A0A0A"/>
      </a:dk1>
      <a:lt1>
        <a:sysClr val="window" lastClr="FAFAFA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F5B77-AA49-4CB9-A802-4BBFB10B5C94}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C0A35-DD33-4388-8FA3-25D5F19A7937}">
  <dimension ref="B12:N37"/>
  <sheetViews>
    <sheetView tabSelected="1" topLeftCell="A10" zoomScale="85" zoomScaleNormal="85" workbookViewId="0">
      <selection activeCell="C24" sqref="C24"/>
    </sheetView>
  </sheetViews>
  <sheetFormatPr defaultRowHeight="15" x14ac:dyDescent="0.25"/>
  <cols>
    <col min="2" max="2" width="19.7109375" customWidth="1"/>
    <col min="3" max="3" width="11.7109375" bestFit="1" customWidth="1"/>
    <col min="4" max="4" width="13" customWidth="1"/>
  </cols>
  <sheetData>
    <row r="12" spans="2:14" ht="15.75" thickBot="1" x14ac:dyDescent="0.3">
      <c r="C12" t="s">
        <v>168</v>
      </c>
    </row>
    <row r="13" spans="2:14" ht="30.75" thickBot="1" x14ac:dyDescent="0.3">
      <c r="B13" s="2"/>
      <c r="C13" s="6" t="s">
        <v>51</v>
      </c>
      <c r="D13" s="7" t="s">
        <v>169</v>
      </c>
      <c r="E13" s="7" t="s">
        <v>170</v>
      </c>
      <c r="F13" s="7" t="s">
        <v>171</v>
      </c>
      <c r="G13" s="7"/>
      <c r="H13" s="7"/>
      <c r="I13" s="7"/>
      <c r="J13" s="7"/>
      <c r="K13" s="7"/>
      <c r="L13" s="7"/>
      <c r="M13" s="7"/>
      <c r="N13" s="8"/>
    </row>
    <row r="14" spans="2:14" x14ac:dyDescent="0.25">
      <c r="B14" s="3" t="s">
        <v>172</v>
      </c>
      <c r="C14" s="9">
        <v>30</v>
      </c>
      <c r="D14" s="9">
        <f>18</f>
        <v>18</v>
      </c>
      <c r="E14" s="9">
        <f>9.8</f>
        <v>9.8000000000000007</v>
      </c>
      <c r="F14" s="9">
        <f>5.48</f>
        <v>5.48</v>
      </c>
      <c r="G14" s="11"/>
      <c r="H14" s="11"/>
      <c r="I14" s="11"/>
      <c r="J14" s="11"/>
      <c r="K14" s="11"/>
      <c r="L14" s="11"/>
      <c r="M14" s="10"/>
      <c r="N14" s="10"/>
    </row>
    <row r="15" spans="2:14" x14ac:dyDescent="0.25">
      <c r="B15" s="4" t="s">
        <v>173</v>
      </c>
      <c r="C15" s="12">
        <v>40</v>
      </c>
      <c r="D15" s="12">
        <v>40</v>
      </c>
      <c r="E15" s="12">
        <v>40</v>
      </c>
      <c r="F15" s="12">
        <f>72</f>
        <v>72</v>
      </c>
      <c r="G15" s="12"/>
      <c r="H15" s="12"/>
      <c r="I15" s="12"/>
      <c r="J15" s="10"/>
      <c r="K15" s="10"/>
      <c r="L15" s="10"/>
      <c r="M15" s="10"/>
      <c r="N15" s="10"/>
    </row>
    <row r="16" spans="2:14" ht="24.75" customHeight="1" x14ac:dyDescent="0.25">
      <c r="B16" s="4" t="s">
        <v>167</v>
      </c>
      <c r="C16" s="12">
        <f>16.29</f>
        <v>16.29</v>
      </c>
      <c r="D16" s="12">
        <f>9.78</f>
        <v>9.7799999999999994</v>
      </c>
      <c r="E16" s="12">
        <f>8.16</f>
        <v>8.16</v>
      </c>
      <c r="F16" s="12">
        <f>7.3</f>
        <v>7.3</v>
      </c>
      <c r="G16" s="12"/>
      <c r="H16" s="12"/>
      <c r="I16" s="12"/>
      <c r="J16" s="10"/>
      <c r="K16" s="10"/>
      <c r="L16" s="10"/>
      <c r="M16" s="10"/>
      <c r="N16" s="10"/>
    </row>
    <row r="17" spans="2:14" x14ac:dyDescent="0.25">
      <c r="B17" s="4" t="s">
        <v>174</v>
      </c>
      <c r="C17" s="12">
        <v>3.71</v>
      </c>
      <c r="D17" s="12">
        <v>2.2200000000000002</v>
      </c>
      <c r="E17" s="12">
        <f>4.08</f>
        <v>4.08</v>
      </c>
      <c r="F17" s="12">
        <f>0</f>
        <v>0</v>
      </c>
      <c r="G17" s="10"/>
      <c r="H17" s="10"/>
      <c r="I17" s="10"/>
      <c r="J17" s="10"/>
      <c r="K17" s="10"/>
      <c r="L17" s="10"/>
      <c r="M17" s="10"/>
      <c r="N17" s="10"/>
    </row>
    <row r="18" spans="2:14" x14ac:dyDescent="0.25">
      <c r="B18" s="4" t="s">
        <v>12</v>
      </c>
      <c r="C18" s="12">
        <f>C17/C16</f>
        <v>0.22774708410067526</v>
      </c>
      <c r="D18" s="12">
        <f t="shared" ref="D18:F18" si="0">D17/D16</f>
        <v>0.22699386503067487</v>
      </c>
      <c r="E18" s="12">
        <f t="shared" si="0"/>
        <v>0.5</v>
      </c>
      <c r="F18" s="12">
        <f t="shared" si="0"/>
        <v>0</v>
      </c>
      <c r="G18" s="10"/>
      <c r="H18" s="10"/>
      <c r="I18" s="10"/>
      <c r="J18" s="10"/>
      <c r="K18" s="10"/>
      <c r="L18" s="10"/>
      <c r="M18" s="10"/>
      <c r="N18" s="10"/>
    </row>
    <row r="19" spans="2:14" ht="15.75" thickBot="1" x14ac:dyDescent="0.3">
      <c r="B19" s="5" t="s">
        <v>10</v>
      </c>
      <c r="C19" s="12">
        <f>0</f>
        <v>0</v>
      </c>
      <c r="D19" s="12">
        <f>0</f>
        <v>0</v>
      </c>
      <c r="E19" s="12">
        <f>0</f>
        <v>0</v>
      </c>
      <c r="F19" s="12">
        <f>0</f>
        <v>0</v>
      </c>
      <c r="G19" s="10"/>
      <c r="H19" s="10"/>
      <c r="I19" s="10"/>
      <c r="J19" s="10"/>
      <c r="K19" s="10"/>
      <c r="L19" s="10"/>
      <c r="M19" s="10"/>
      <c r="N19" s="10"/>
    </row>
    <row r="20" spans="2:14" ht="15.75" thickBot="1" x14ac:dyDescent="0.3">
      <c r="B20" s="5" t="s">
        <v>13</v>
      </c>
      <c r="C20" s="12">
        <f>(C16+C17)/2</f>
        <v>10</v>
      </c>
      <c r="D20" s="12">
        <f t="shared" ref="D20:E20" si="1">(D16+D17)/2</f>
        <v>6</v>
      </c>
      <c r="E20" s="12">
        <f t="shared" si="1"/>
        <v>6.12</v>
      </c>
      <c r="F20" s="12">
        <f t="shared" ref="F20" si="2">(F16+F17)/2</f>
        <v>3.65</v>
      </c>
      <c r="G20" s="10"/>
      <c r="H20" s="10"/>
      <c r="I20" s="10"/>
      <c r="J20" s="10"/>
      <c r="K20" s="10"/>
      <c r="L20" s="10"/>
      <c r="M20" s="10"/>
      <c r="N20" s="10"/>
    </row>
    <row r="21" spans="2:14" ht="30.75" thickBot="1" x14ac:dyDescent="0.3">
      <c r="B21" s="5" t="s">
        <v>14</v>
      </c>
      <c r="C21" s="12">
        <f>(2/3) * (C16) * ( (1 + C18 + C18^2) / (1 + C18))</f>
        <v>11.318803333333333</v>
      </c>
      <c r="D21" s="12">
        <f t="shared" ref="D21:E21" si="3">(2/3) * (D16) * ( (1 + D18 + D18^2) / (1 + D18))</f>
        <v>6.7937999999999992</v>
      </c>
      <c r="E21" s="12">
        <f t="shared" si="3"/>
        <v>6.3466666666666667</v>
      </c>
      <c r="F21" s="12">
        <f t="shared" ref="F21" si="4">(2/3) * (F16) * ( (1 + F18 + F18^2) / (1 + F18))</f>
        <v>4.8666666666666663</v>
      </c>
      <c r="G21" s="10"/>
      <c r="H21" s="10"/>
      <c r="I21" s="10"/>
      <c r="J21" s="10"/>
      <c r="K21" s="10"/>
      <c r="L21" s="10"/>
      <c r="M21" s="10"/>
      <c r="N21" s="10"/>
    </row>
    <row r="22" spans="2:14" ht="30.75" thickBot="1" x14ac:dyDescent="0.3">
      <c r="B22" s="5" t="s">
        <v>15</v>
      </c>
      <c r="C22" s="12">
        <f>TAN(C15*PI()/180) + C16/(2*C14)*(C18-1)</f>
        <v>0.62943296451061326</v>
      </c>
      <c r="D22" s="12">
        <f t="shared" ref="D22:E22" si="5">TAN(D15*PI()/180) + D16/(2*D14)*(D18-1)</f>
        <v>0.62909963117727996</v>
      </c>
      <c r="E22" s="12">
        <f t="shared" si="5"/>
        <v>0.63093636587115753</v>
      </c>
      <c r="F22" s="12">
        <f t="shared" ref="F22" si="6">TAN(F15*PI()/180) + F16/(2*F14)*(F18-1)</f>
        <v>2.4116251430146689</v>
      </c>
      <c r="G22" s="10"/>
      <c r="H22" s="10"/>
      <c r="I22" s="10"/>
      <c r="J22" s="10"/>
      <c r="K22" s="10"/>
      <c r="L22" s="10"/>
      <c r="M22" s="10"/>
      <c r="N22" s="10"/>
    </row>
    <row r="23" spans="2:14" ht="15.75" thickBot="1" x14ac:dyDescent="0.3">
      <c r="B23" s="5" t="s">
        <v>16</v>
      </c>
      <c r="C23" s="12">
        <f>(C14*C16*(1+C18)/2)</f>
        <v>300</v>
      </c>
      <c r="D23" s="12">
        <f t="shared" ref="D23:E23" si="7">(D14*D16*(1+D18)/2)</f>
        <v>108</v>
      </c>
      <c r="E23" s="12">
        <f t="shared" si="7"/>
        <v>59.975999999999999</v>
      </c>
      <c r="F23" s="12">
        <f t="shared" ref="F23" si="8">(F14*F16*(1+F18)/2)</f>
        <v>20.002000000000002</v>
      </c>
      <c r="G23" s="10"/>
      <c r="H23" s="10"/>
      <c r="I23" s="10"/>
      <c r="J23" s="10"/>
      <c r="K23" s="10"/>
      <c r="L23" s="10"/>
      <c r="M23" s="10"/>
      <c r="N23" s="10"/>
    </row>
    <row r="24" spans="2:14" ht="15.75" thickBot="1" x14ac:dyDescent="0.3">
      <c r="B24" s="5" t="s">
        <v>17</v>
      </c>
      <c r="C24" s="12">
        <f>C14^2/C23</f>
        <v>3</v>
      </c>
      <c r="D24" s="12">
        <f t="shared" ref="D24:F24" si="9">D14^2/D23</f>
        <v>3</v>
      </c>
      <c r="E24" s="12">
        <f t="shared" si="9"/>
        <v>1.601307189542484</v>
      </c>
      <c r="F24" s="12">
        <f t="shared" si="9"/>
        <v>1.5013698630136987</v>
      </c>
      <c r="G24" s="10"/>
      <c r="H24" s="10"/>
      <c r="I24" s="10"/>
      <c r="J24" s="10"/>
      <c r="K24" s="10"/>
      <c r="L24" s="10"/>
      <c r="M24" s="10"/>
      <c r="N24" s="10"/>
    </row>
    <row r="25" spans="2:14" ht="30.75" thickBot="1" x14ac:dyDescent="0.3">
      <c r="B25" s="5" t="s">
        <v>175</v>
      </c>
      <c r="C25" s="12" t="s">
        <v>177</v>
      </c>
      <c r="D25" s="12" t="s">
        <v>177</v>
      </c>
      <c r="E25" s="12" t="s">
        <v>177</v>
      </c>
      <c r="F25" s="12" t="s">
        <v>177</v>
      </c>
      <c r="G25" s="10"/>
      <c r="H25" s="10"/>
      <c r="I25" s="10"/>
      <c r="J25" s="10"/>
      <c r="K25" s="10"/>
      <c r="L25" s="10"/>
      <c r="M25" s="10"/>
      <c r="N25" s="10"/>
    </row>
    <row r="26" spans="2:14" ht="15.75" thickBot="1" x14ac:dyDescent="0.3">
      <c r="B26" s="5" t="s">
        <v>55</v>
      </c>
      <c r="C26" s="12">
        <v>0.04</v>
      </c>
      <c r="D26" s="12">
        <v>0.04</v>
      </c>
      <c r="E26" s="12">
        <v>0.04</v>
      </c>
      <c r="F26" s="12">
        <v>0.04</v>
      </c>
      <c r="G26" s="10"/>
      <c r="H26" s="10"/>
      <c r="I26" s="10"/>
      <c r="J26" s="10"/>
      <c r="K26" s="10"/>
      <c r="L26" s="10"/>
      <c r="M26" s="10"/>
      <c r="N26" s="10"/>
    </row>
    <row r="27" spans="2:14" ht="15.75" thickBot="1" x14ac:dyDescent="0.3">
      <c r="B27" s="5" t="s">
        <v>176</v>
      </c>
      <c r="C27" s="12">
        <v>1.43</v>
      </c>
      <c r="D27" s="12">
        <v>1.43</v>
      </c>
      <c r="E27" s="12">
        <v>1.43</v>
      </c>
      <c r="F27" s="12">
        <v>1.43</v>
      </c>
      <c r="G27" s="10"/>
      <c r="H27" s="10"/>
      <c r="I27" s="10"/>
      <c r="J27" s="10"/>
      <c r="K27" s="10"/>
      <c r="L27" s="10"/>
      <c r="M27" s="10"/>
      <c r="N27" s="10"/>
    </row>
    <row r="28" spans="2:14" ht="15.75" thickBot="1" x14ac:dyDescent="0.3">
      <c r="B28" s="5" t="s">
        <v>57</v>
      </c>
      <c r="C28" s="12">
        <v>0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</row>
    <row r="29" spans="2:14" ht="15.75" thickBot="1" x14ac:dyDescent="0.3">
      <c r="B29" s="5" t="s">
        <v>58</v>
      </c>
      <c r="C29" s="12">
        <v>0.105</v>
      </c>
      <c r="D29" s="12">
        <v>0.105</v>
      </c>
      <c r="E29" s="12">
        <v>0.105</v>
      </c>
      <c r="F29" s="12">
        <v>0.105</v>
      </c>
      <c r="G29" s="10"/>
      <c r="H29" s="10"/>
      <c r="I29" s="10"/>
      <c r="J29" s="10"/>
      <c r="K29" s="10"/>
      <c r="L29" s="10"/>
      <c r="M29" s="10"/>
      <c r="N29" s="10"/>
    </row>
    <row r="30" spans="2:14" ht="15.75" thickBot="1" x14ac:dyDescent="0.3">
      <c r="B30" s="5" t="s">
        <v>10</v>
      </c>
      <c r="C30" s="12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2:14" ht="15.75" thickBot="1" x14ac:dyDescent="0.3">
      <c r="B31" s="5" t="s">
        <v>10</v>
      </c>
      <c r="C31" s="1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2:14" ht="15.75" thickBot="1" x14ac:dyDescent="0.3">
      <c r="B32" s="5" t="s">
        <v>10</v>
      </c>
      <c r="C32" s="12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2:14" ht="15.75" thickBot="1" x14ac:dyDescent="0.3">
      <c r="B33" s="5" t="s">
        <v>10</v>
      </c>
      <c r="C33" s="12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spans="2:14" ht="15.75" thickBot="1" x14ac:dyDescent="0.3">
      <c r="B34" s="5" t="s">
        <v>10</v>
      </c>
      <c r="C34" s="12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2:14" ht="15.75" thickBot="1" x14ac:dyDescent="0.3">
      <c r="B35" s="5" t="s">
        <v>10</v>
      </c>
      <c r="C35" s="12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2:14" ht="15.75" thickBot="1" x14ac:dyDescent="0.3">
      <c r="B36" s="5" t="s">
        <v>10</v>
      </c>
      <c r="C36" s="12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spans="2:14" ht="15.75" thickBot="1" x14ac:dyDescent="0.3">
      <c r="B37" s="5" t="s">
        <v>10</v>
      </c>
      <c r="C37" s="12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</sheetData>
  <conditionalFormatting sqref="C14:N37">
    <cfRule type="containsBlanks" dxfId="3" priority="1">
      <formula>LEN(TRIM(C14))=0</formula>
    </cfRule>
  </conditionalFormatting>
  <pageMargins left="0.7" right="0.7" top="0.75" bottom="0.75" header="0.3" footer="0.3"/>
  <ignoredErrors>
    <ignoredError sqref="D16 F1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39A36-451D-4F25-8129-DF6BD6735BBB}">
  <dimension ref="A2:Z159"/>
  <sheetViews>
    <sheetView workbookViewId="0">
      <selection activeCell="G17" sqref="G17"/>
    </sheetView>
  </sheetViews>
  <sheetFormatPr defaultRowHeight="15" x14ac:dyDescent="0.25"/>
  <sheetData>
    <row r="2" spans="2:26" x14ac:dyDescent="0.25">
      <c r="L2" t="s">
        <v>2</v>
      </c>
      <c r="S2" t="s">
        <v>3</v>
      </c>
      <c r="T2" t="s">
        <v>4</v>
      </c>
    </row>
    <row r="3" spans="2:26" x14ac:dyDescent="0.25"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I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U3" t="s">
        <v>18</v>
      </c>
      <c r="X3" t="s">
        <v>19</v>
      </c>
    </row>
    <row r="4" spans="2:26" x14ac:dyDescent="0.25">
      <c r="B4" t="s">
        <v>20</v>
      </c>
      <c r="C4">
        <v>45</v>
      </c>
      <c r="D4">
        <v>30</v>
      </c>
      <c r="E4">
        <v>0</v>
      </c>
      <c r="F4">
        <v>40</v>
      </c>
      <c r="G4">
        <v>0</v>
      </c>
      <c r="L4">
        <f>E4/D4</f>
        <v>0</v>
      </c>
      <c r="M4">
        <f>(D4 + E4)/2</f>
        <v>15</v>
      </c>
      <c r="N4">
        <f>(2/3) * (D4) * ( (1 + L4 + L4^2) / (1 + L4))</f>
        <v>20</v>
      </c>
      <c r="O4">
        <f>TAN(F4*PI()/180) + D4/(2*C4)*(L4-1)</f>
        <v>0.50576629784394656</v>
      </c>
      <c r="P4">
        <f>D4*C4*(1+L4)/2</f>
        <v>675</v>
      </c>
      <c r="Q4">
        <f>(C4^2)/P4</f>
        <v>3</v>
      </c>
      <c r="T4" t="s">
        <v>21</v>
      </c>
      <c r="X4" t="s">
        <v>22</v>
      </c>
      <c r="Y4" t="s">
        <v>23</v>
      </c>
      <c r="Z4" t="s">
        <v>24</v>
      </c>
    </row>
    <row r="5" spans="2:26" x14ac:dyDescent="0.25">
      <c r="B5" t="s">
        <v>25</v>
      </c>
      <c r="C5">
        <v>24.288</v>
      </c>
      <c r="D5">
        <v>7.4888000000000003</v>
      </c>
      <c r="E5">
        <v>4.2504</v>
      </c>
      <c r="F5">
        <v>27</v>
      </c>
      <c r="G5">
        <v>0</v>
      </c>
      <c r="L5">
        <f t="shared" ref="L5:L6" si="0">E5/D5</f>
        <v>0.56756756756756754</v>
      </c>
      <c r="M5">
        <f t="shared" ref="M5:M6" si="1">(D5 + E5)/2</f>
        <v>5.8696000000000002</v>
      </c>
      <c r="N5">
        <f t="shared" ref="N5:N6" si="2">(2/3) * (D5) * ( (1 + L5 + L5^2) / (1 + L5))</f>
        <v>6.0184919540229886</v>
      </c>
      <c r="O5">
        <f t="shared" ref="O5:O6" si="3">TAN(F5*PI()/180) + D5/(2*C5)*(L5-1)</f>
        <v>0.44285878282776214</v>
      </c>
      <c r="P5">
        <f t="shared" ref="P5:P6" si="4">D5*C5*(1+L5)/2</f>
        <v>142.56084480000001</v>
      </c>
      <c r="Q5">
        <f t="shared" ref="Q5:Q6" si="5">(C5^2)/P5</f>
        <v>4.1379310344827589</v>
      </c>
      <c r="T5" t="s">
        <v>26</v>
      </c>
      <c r="U5">
        <v>4000</v>
      </c>
      <c r="X5">
        <f>(45^2)/(611.7)</f>
        <v>3.3104462972045119</v>
      </c>
      <c r="Y5">
        <f>90725/611</f>
        <v>148.48608837970539</v>
      </c>
      <c r="Z5">
        <v>611</v>
      </c>
    </row>
    <row r="6" spans="2:26" x14ac:dyDescent="0.25">
      <c r="B6" t="s">
        <v>27</v>
      </c>
      <c r="C6">
        <v>7.3849999999999998</v>
      </c>
      <c r="D6">
        <v>7.4880000000000004</v>
      </c>
      <c r="E6">
        <v>4.2504</v>
      </c>
      <c r="F6">
        <v>27</v>
      </c>
      <c r="G6">
        <v>65.658900000000003</v>
      </c>
      <c r="L6">
        <f t="shared" si="0"/>
        <v>0.56762820512820511</v>
      </c>
      <c r="M6">
        <f t="shared" si="1"/>
        <v>5.8692000000000002</v>
      </c>
      <c r="N6">
        <f t="shared" si="2"/>
        <v>6.0180285422204047</v>
      </c>
      <c r="O6">
        <f t="shared" si="3"/>
        <v>0.29032436621751612</v>
      </c>
      <c r="P6">
        <f t="shared" si="4"/>
        <v>43.344042000000002</v>
      </c>
      <c r="Q6">
        <f t="shared" si="5"/>
        <v>1.2582634771348735</v>
      </c>
      <c r="T6" t="s">
        <v>28</v>
      </c>
      <c r="U6">
        <v>4000</v>
      </c>
    </row>
    <row r="7" spans="2:26" x14ac:dyDescent="0.25">
      <c r="T7" t="s">
        <v>29</v>
      </c>
      <c r="U7">
        <v>80000</v>
      </c>
    </row>
    <row r="8" spans="2:26" x14ac:dyDescent="0.25">
      <c r="B8" t="s">
        <v>30</v>
      </c>
      <c r="C8" t="s">
        <v>31</v>
      </c>
      <c r="D8" t="s">
        <v>32</v>
      </c>
      <c r="L8" t="s">
        <v>33</v>
      </c>
      <c r="T8" t="s">
        <v>34</v>
      </c>
      <c r="U8">
        <v>3</v>
      </c>
    </row>
    <row r="9" spans="2:26" x14ac:dyDescent="0.25">
      <c r="C9">
        <v>45</v>
      </c>
      <c r="D9">
        <f>58.29112/12</f>
        <v>4.857593333333333</v>
      </c>
      <c r="L9">
        <f>PI()*D9^2</f>
        <v>74.129689388346847</v>
      </c>
      <c r="T9" t="s">
        <v>35</v>
      </c>
      <c r="U9">
        <v>60</v>
      </c>
    </row>
    <row r="10" spans="2:26" x14ac:dyDescent="0.25">
      <c r="T10" t="s">
        <v>36</v>
      </c>
      <c r="U10">
        <v>100</v>
      </c>
    </row>
    <row r="11" spans="2:26" x14ac:dyDescent="0.25">
      <c r="B11" t="s">
        <v>37</v>
      </c>
      <c r="T11" t="s">
        <v>38</v>
      </c>
      <c r="U11">
        <v>7</v>
      </c>
    </row>
    <row r="12" spans="2:26" x14ac:dyDescent="0.25">
      <c r="B12" t="s">
        <v>39</v>
      </c>
      <c r="C12" t="s">
        <v>40</v>
      </c>
      <c r="D12" t="s">
        <v>41</v>
      </c>
      <c r="E12" t="s">
        <v>42</v>
      </c>
      <c r="L12" t="s">
        <v>43</v>
      </c>
    </row>
    <row r="13" spans="2:26" x14ac:dyDescent="0.25">
      <c r="B13" t="s">
        <v>44</v>
      </c>
      <c r="D13">
        <v>1</v>
      </c>
      <c r="F13" t="s">
        <v>45</v>
      </c>
    </row>
    <row r="15" spans="2:26" x14ac:dyDescent="0.25">
      <c r="F15" t="s">
        <v>46</v>
      </c>
    </row>
    <row r="16" spans="2:26" x14ac:dyDescent="0.25">
      <c r="F16" t="s">
        <v>47</v>
      </c>
    </row>
    <row r="17" spans="1:22" x14ac:dyDescent="0.25">
      <c r="B17" t="s">
        <v>48</v>
      </c>
    </row>
    <row r="18" spans="1:22" x14ac:dyDescent="0.25">
      <c r="B18" t="s">
        <v>49</v>
      </c>
      <c r="C18" t="s">
        <v>41</v>
      </c>
      <c r="F18" t="s">
        <v>50</v>
      </c>
    </row>
    <row r="19" spans="1:22" x14ac:dyDescent="0.25">
      <c r="B19" t="s">
        <v>51</v>
      </c>
      <c r="C19">
        <v>1</v>
      </c>
      <c r="F19" t="s">
        <v>52</v>
      </c>
    </row>
    <row r="20" spans="1:22" x14ac:dyDescent="0.25">
      <c r="V20" t="s">
        <v>53</v>
      </c>
    </row>
    <row r="21" spans="1:22" x14ac:dyDescent="0.25">
      <c r="B21" t="s">
        <v>54</v>
      </c>
    </row>
    <row r="22" spans="1:22" x14ac:dyDescent="0.25">
      <c r="B22" t="s">
        <v>49</v>
      </c>
      <c r="C22" t="s">
        <v>55</v>
      </c>
      <c r="D22" t="s">
        <v>56</v>
      </c>
      <c r="E22" t="s">
        <v>57</v>
      </c>
      <c r="F22" t="s">
        <v>58</v>
      </c>
    </row>
    <row r="23" spans="1:22" x14ac:dyDescent="0.25">
      <c r="A23" t="s">
        <v>59</v>
      </c>
      <c r="B23" t="s">
        <v>60</v>
      </c>
      <c r="C23">
        <v>0.04</v>
      </c>
      <c r="D23">
        <v>1.43</v>
      </c>
      <c r="E23">
        <v>0</v>
      </c>
      <c r="F23">
        <v>0.105</v>
      </c>
    </row>
    <row r="24" spans="1:22" x14ac:dyDescent="0.25">
      <c r="A24" t="s">
        <v>61</v>
      </c>
      <c r="B24" t="s">
        <v>62</v>
      </c>
    </row>
    <row r="26" spans="1:22" x14ac:dyDescent="0.25">
      <c r="B26" t="s">
        <v>63</v>
      </c>
      <c r="C26" t="s">
        <v>64</v>
      </c>
    </row>
    <row r="27" spans="1:22" x14ac:dyDescent="0.25">
      <c r="B27" t="s">
        <v>49</v>
      </c>
      <c r="C27" t="s">
        <v>65</v>
      </c>
      <c r="D27" t="s">
        <v>66</v>
      </c>
      <c r="E27" t="s">
        <v>67</v>
      </c>
      <c r="F27" t="s">
        <v>68</v>
      </c>
      <c r="H27" t="s">
        <v>69</v>
      </c>
    </row>
    <row r="28" spans="1:22" x14ac:dyDescent="0.25">
      <c r="B28" t="s">
        <v>70</v>
      </c>
      <c r="C28" t="s">
        <v>71</v>
      </c>
      <c r="D28">
        <v>0.21</v>
      </c>
      <c r="E28">
        <v>11</v>
      </c>
      <c r="F28">
        <f>1.67518*E28^(1.63934426229508)</f>
        <v>85.361610949855233</v>
      </c>
      <c r="G28">
        <f>-5.88235*(6.3-E28)</f>
        <v>27.647044999999999</v>
      </c>
    </row>
    <row r="29" spans="1:22" x14ac:dyDescent="0.25">
      <c r="B29" t="s">
        <v>72</v>
      </c>
      <c r="C29" t="s">
        <v>73</v>
      </c>
      <c r="D29">
        <v>0.11</v>
      </c>
      <c r="E29">
        <v>13</v>
      </c>
      <c r="F29">
        <f>1.9928*E29^(1.38121546961326)</f>
        <v>68.874665873943542</v>
      </c>
    </row>
    <row r="30" spans="1:22" x14ac:dyDescent="0.25">
      <c r="B30" t="s">
        <v>74</v>
      </c>
      <c r="C30" t="s">
        <v>75</v>
      </c>
      <c r="D30">
        <v>1.1000000000000001</v>
      </c>
      <c r="E30">
        <v>46</v>
      </c>
      <c r="F30">
        <f>-9.61538*(13.61-E30)</f>
        <v>311.44215819999999</v>
      </c>
    </row>
    <row r="31" spans="1:22" x14ac:dyDescent="0.25">
      <c r="B31" t="s">
        <v>76</v>
      </c>
      <c r="C31" t="s">
        <v>77</v>
      </c>
      <c r="D31">
        <v>1.08</v>
      </c>
      <c r="E31">
        <v>44</v>
      </c>
      <c r="F31">
        <f>2.46692*E31^1.17924528301886</f>
        <v>213.88921302330098</v>
      </c>
    </row>
    <row r="32" spans="1:22" x14ac:dyDescent="0.25">
      <c r="B32" t="s">
        <v>78</v>
      </c>
      <c r="C32" t="s">
        <v>79</v>
      </c>
      <c r="D32">
        <f>13.0001*E32^1.22399020807833</f>
        <v>6906.9000967923139</v>
      </c>
      <c r="E32">
        <v>168.5</v>
      </c>
      <c r="F32">
        <f>0.276826*E32^(1.58730158730158)</f>
        <v>947.31069672876322</v>
      </c>
      <c r="H32" t="s">
        <v>80</v>
      </c>
    </row>
    <row r="33" spans="2:8" x14ac:dyDescent="0.25">
      <c r="B33" t="s">
        <v>81</v>
      </c>
      <c r="C33" t="s">
        <v>82</v>
      </c>
      <c r="D33">
        <v>0.5</v>
      </c>
      <c r="E33">
        <v>14</v>
      </c>
      <c r="F33">
        <f>0.276826*E33^(1.58730158730158)</f>
        <v>18.258190233307538</v>
      </c>
    </row>
    <row r="34" spans="2:8" x14ac:dyDescent="0.25">
      <c r="B34" t="s">
        <v>83</v>
      </c>
      <c r="C34" t="s">
        <v>84</v>
      </c>
      <c r="D34">
        <f>24.0537*E34^1.09649122807017</f>
        <v>28569.075051286814</v>
      </c>
      <c r="E34">
        <v>637</v>
      </c>
      <c r="F34">
        <f>2.99715*E34^(1.29701686121919)</f>
        <v>12993.453717438637</v>
      </c>
    </row>
    <row r="35" spans="2:8" x14ac:dyDescent="0.25">
      <c r="B35" t="s">
        <v>85</v>
      </c>
      <c r="C35" t="s">
        <v>86</v>
      </c>
      <c r="D35">
        <f>-0.0248756*(6.4-E35)</f>
        <v>2.7512413599999999</v>
      </c>
      <c r="E35">
        <v>117</v>
      </c>
      <c r="F35">
        <f>1.67518*E35^(1.63935526229508)</f>
        <v>4116.73446369046</v>
      </c>
      <c r="H35" t="s">
        <v>87</v>
      </c>
    </row>
    <row r="36" spans="2:8" x14ac:dyDescent="0.25">
      <c r="B36" t="s">
        <v>88</v>
      </c>
      <c r="C36" t="s">
        <v>89</v>
      </c>
      <c r="D36">
        <f>0.00579988*E36^1.35685210312076</f>
        <v>2.7584282120510673</v>
      </c>
      <c r="E36">
        <v>94</v>
      </c>
      <c r="F36">
        <f>-5.88235*(6.3-E36)</f>
        <v>515.88209500000005</v>
      </c>
      <c r="H36" t="s">
        <v>90</v>
      </c>
    </row>
    <row r="37" spans="2:8" x14ac:dyDescent="0.25">
      <c r="B37" t="s">
        <v>91</v>
      </c>
      <c r="C37" t="s">
        <v>92</v>
      </c>
      <c r="D37">
        <f>0.005969774*E37^1.15105740181268</f>
        <v>0.39536992853670594</v>
      </c>
      <c r="E37">
        <v>38.200000000000003</v>
      </c>
      <c r="F37">
        <f>2.80898*E37^(1.15207373271889)</f>
        <v>186.72492382270931</v>
      </c>
    </row>
    <row r="38" spans="2:8" x14ac:dyDescent="0.25">
      <c r="B38" t="s">
        <v>93</v>
      </c>
      <c r="C38" t="s">
        <v>94</v>
      </c>
      <c r="D38">
        <f>0.0154048*E38^1.14547537227949</f>
        <v>14.192936874481287</v>
      </c>
      <c r="E38">
        <v>387.2</v>
      </c>
      <c r="F38">
        <f>2.95412*E38^(1.28700128700128)</f>
        <v>6325.6368719013035</v>
      </c>
    </row>
    <row r="39" spans="2:8" x14ac:dyDescent="0.25">
      <c r="B39" t="s">
        <v>95</v>
      </c>
      <c r="C39" t="s">
        <v>96</v>
      </c>
      <c r="D39">
        <v>0.03</v>
      </c>
      <c r="E39">
        <v>2</v>
      </c>
      <c r="F39" t="s">
        <v>79</v>
      </c>
    </row>
    <row r="40" spans="2:8" x14ac:dyDescent="0.25">
      <c r="B40" t="s">
        <v>97</v>
      </c>
      <c r="C40" t="s">
        <v>79</v>
      </c>
      <c r="D40">
        <v>0.3</v>
      </c>
      <c r="E40">
        <v>15.6</v>
      </c>
      <c r="F40">
        <f>0.276826*E40^(1.58730158730158)</f>
        <v>21.679808726003561</v>
      </c>
    </row>
    <row r="41" spans="2:8" x14ac:dyDescent="0.25">
      <c r="D41" t="s">
        <v>98</v>
      </c>
      <c r="E41" t="s">
        <v>67</v>
      </c>
      <c r="F41" t="s">
        <v>68</v>
      </c>
    </row>
    <row r="42" spans="2:8" x14ac:dyDescent="0.25">
      <c r="B42" t="s">
        <v>99</v>
      </c>
      <c r="D42">
        <f>SUM(D28:D40)/(12^3)</f>
        <v>20.543636067392477</v>
      </c>
      <c r="E42">
        <f>SUM(E28:E40)</f>
        <v>1587.5</v>
      </c>
      <c r="F42">
        <f>SUM(F28:F40)</f>
        <v>25805.248415588285</v>
      </c>
    </row>
    <row r="44" spans="2:8" x14ac:dyDescent="0.25">
      <c r="B44" t="s">
        <v>100</v>
      </c>
    </row>
    <row r="45" spans="2:8" x14ac:dyDescent="0.25">
      <c r="C45" t="s">
        <v>101</v>
      </c>
      <c r="D45" t="s">
        <v>102</v>
      </c>
      <c r="F45" t="s">
        <v>103</v>
      </c>
    </row>
    <row r="46" spans="2:8" x14ac:dyDescent="0.25">
      <c r="B46" t="s">
        <v>104</v>
      </c>
      <c r="C46">
        <f>0.3</f>
        <v>0.3</v>
      </c>
      <c r="D46">
        <f>C46*C9</f>
        <v>13.5</v>
      </c>
      <c r="F46" t="s">
        <v>105</v>
      </c>
    </row>
    <row r="47" spans="2:8" x14ac:dyDescent="0.25">
      <c r="F47" t="s">
        <v>106</v>
      </c>
    </row>
    <row r="48" spans="2:8" x14ac:dyDescent="0.25">
      <c r="F48" t="s">
        <v>107</v>
      </c>
    </row>
    <row r="50" spans="2:12" x14ac:dyDescent="0.25">
      <c r="B50" t="s">
        <v>108</v>
      </c>
    </row>
    <row r="51" spans="2:12" x14ac:dyDescent="0.25">
      <c r="B51" t="s">
        <v>49</v>
      </c>
      <c r="C51" t="s">
        <v>41</v>
      </c>
      <c r="D51" t="s">
        <v>31</v>
      </c>
      <c r="L51" t="s">
        <v>67</v>
      </c>
    </row>
    <row r="52" spans="2:12" x14ac:dyDescent="0.25">
      <c r="B52" t="s">
        <v>109</v>
      </c>
      <c r="C52">
        <v>2</v>
      </c>
    </row>
    <row r="53" spans="2:12" x14ac:dyDescent="0.25">
      <c r="B53" t="s">
        <v>110</v>
      </c>
      <c r="C53">
        <v>1</v>
      </c>
    </row>
    <row r="54" spans="2:12" x14ac:dyDescent="0.25">
      <c r="B54" t="s">
        <v>111</v>
      </c>
      <c r="C54">
        <f>D13</f>
        <v>1</v>
      </c>
    </row>
    <row r="55" spans="2:12" x14ac:dyDescent="0.25">
      <c r="B55" t="s">
        <v>112</v>
      </c>
    </row>
    <row r="56" spans="2:12" x14ac:dyDescent="0.25">
      <c r="B56" t="s">
        <v>113</v>
      </c>
    </row>
    <row r="57" spans="2:12" x14ac:dyDescent="0.25">
      <c r="B57" t="s">
        <v>114</v>
      </c>
    </row>
    <row r="58" spans="2:12" x14ac:dyDescent="0.25">
      <c r="B58" t="s">
        <v>115</v>
      </c>
    </row>
    <row r="59" spans="2:12" x14ac:dyDescent="0.25">
      <c r="B59" t="s">
        <v>116</v>
      </c>
    </row>
    <row r="60" spans="2:12" x14ac:dyDescent="0.25">
      <c r="B60" t="s">
        <v>117</v>
      </c>
    </row>
    <row r="65" spans="2:9" x14ac:dyDescent="0.25">
      <c r="B65" t="s">
        <v>118</v>
      </c>
    </row>
    <row r="66" spans="2:9" x14ac:dyDescent="0.25">
      <c r="B66" t="s">
        <v>119</v>
      </c>
      <c r="C66">
        <f>C9</f>
        <v>45</v>
      </c>
    </row>
    <row r="67" spans="2:9" x14ac:dyDescent="0.25">
      <c r="B67" t="s">
        <v>120</v>
      </c>
      <c r="C67" t="s">
        <v>121</v>
      </c>
      <c r="D67" t="s">
        <v>122</v>
      </c>
      <c r="E67" t="s">
        <v>123</v>
      </c>
      <c r="F67" t="s">
        <v>124</v>
      </c>
      <c r="H67" t="s">
        <v>125</v>
      </c>
      <c r="I67" t="s">
        <v>98</v>
      </c>
    </row>
    <row r="68" spans="2:9" x14ac:dyDescent="0.25">
      <c r="B68">
        <f>-C66/2</f>
        <v>-22.5</v>
      </c>
      <c r="C68">
        <f t="shared" ref="C68:C128" si="6">B68/$C$66</f>
        <v>-0.5</v>
      </c>
      <c r="D68">
        <f t="shared" ref="D68:D128" si="7">((1-((2*C68)^2)^(3/2)))</f>
        <v>0</v>
      </c>
      <c r="E68">
        <f t="shared" ref="E68:E128" si="8">(PI()*D68^2)/(PI()*$D$98^2)</f>
        <v>0</v>
      </c>
      <c r="F68">
        <f t="shared" ref="F68:F128" si="9">E68*$L$9</f>
        <v>0</v>
      </c>
      <c r="H68">
        <f>(9/2)*(PI()/$C$66^2)*$L$9</f>
        <v>0.51752286132294156</v>
      </c>
      <c r="I68">
        <f>(3/16)*$C$66*$L$9</f>
        <v>625.46925421417654</v>
      </c>
    </row>
    <row r="69" spans="2:9" x14ac:dyDescent="0.25">
      <c r="B69">
        <f t="shared" ref="B69:B128" si="10">B68+1</f>
        <v>-21.5</v>
      </c>
      <c r="C69">
        <f t="shared" si="6"/>
        <v>-0.4777777777777778</v>
      </c>
      <c r="D69">
        <f t="shared" si="7"/>
        <v>0.1274951989026063</v>
      </c>
      <c r="E69">
        <f t="shared" si="8"/>
        <v>1.752945823491692E-2</v>
      </c>
      <c r="F69">
        <f t="shared" si="9"/>
        <v>1.29945329410039</v>
      </c>
    </row>
    <row r="70" spans="2:9" x14ac:dyDescent="0.25">
      <c r="B70">
        <f t="shared" si="10"/>
        <v>-20.5</v>
      </c>
      <c r="C70">
        <f t="shared" si="6"/>
        <v>-0.45555555555555555</v>
      </c>
      <c r="D70">
        <f t="shared" si="7"/>
        <v>0.24366529492455424</v>
      </c>
      <c r="E70">
        <f t="shared" si="8"/>
        <v>6.4027742112482869E-2</v>
      </c>
      <c r="F70">
        <f t="shared" si="9"/>
        <v>4.7463566350355295</v>
      </c>
    </row>
    <row r="71" spans="2:9" x14ac:dyDescent="0.25">
      <c r="B71">
        <f t="shared" si="10"/>
        <v>-19.5</v>
      </c>
      <c r="C71">
        <f t="shared" si="6"/>
        <v>-0.43333333333333335</v>
      </c>
      <c r="D71">
        <f t="shared" si="7"/>
        <v>0.34903703703703692</v>
      </c>
      <c r="E71">
        <f t="shared" si="8"/>
        <v>0.13137836686390522</v>
      </c>
      <c r="F71">
        <f t="shared" si="9"/>
        <v>9.7390375279695736</v>
      </c>
    </row>
    <row r="72" spans="2:9" x14ac:dyDescent="0.25">
      <c r="B72">
        <f t="shared" si="10"/>
        <v>-18.5</v>
      </c>
      <c r="C72">
        <f t="shared" si="6"/>
        <v>-0.41111111111111109</v>
      </c>
      <c r="D72">
        <f t="shared" si="7"/>
        <v>0.44413717421124832</v>
      </c>
      <c r="E72">
        <f t="shared" si="8"/>
        <v>0.2127233102328715</v>
      </c>
      <c r="F72">
        <f t="shared" si="9"/>
        <v>15.769112913223708</v>
      </c>
    </row>
    <row r="73" spans="2:9" x14ac:dyDescent="0.25">
      <c r="B73">
        <f t="shared" si="10"/>
        <v>-17.5</v>
      </c>
      <c r="C73">
        <f t="shared" si="6"/>
        <v>-0.3888888888888889</v>
      </c>
      <c r="D73">
        <f t="shared" si="7"/>
        <v>0.5294924554183813</v>
      </c>
      <c r="E73">
        <f t="shared" si="8"/>
        <v>0.3023433251353479</v>
      </c>
      <c r="F73">
        <f t="shared" si="9"/>
        <v>22.412616780923301</v>
      </c>
    </row>
    <row r="74" spans="2:9" x14ac:dyDescent="0.25">
      <c r="B74">
        <f t="shared" si="10"/>
        <v>-16.5</v>
      </c>
      <c r="C74">
        <f t="shared" si="6"/>
        <v>-0.36666666666666664</v>
      </c>
      <c r="D74">
        <f t="shared" si="7"/>
        <v>0.60562962962962974</v>
      </c>
      <c r="E74">
        <f t="shared" si="8"/>
        <v>0.39554423668639066</v>
      </c>
      <c r="F74">
        <f t="shared" si="9"/>
        <v>29.321571404912888</v>
      </c>
    </row>
    <row r="75" spans="2:9" x14ac:dyDescent="0.25">
      <c r="B75">
        <f t="shared" si="10"/>
        <v>-15.5</v>
      </c>
      <c r="C75">
        <f t="shared" si="6"/>
        <v>-0.34444444444444444</v>
      </c>
      <c r="D75">
        <f t="shared" si="7"/>
        <v>0.6730754458161865</v>
      </c>
      <c r="E75">
        <f t="shared" si="8"/>
        <v>0.48854922359396419</v>
      </c>
      <c r="F75">
        <f t="shared" si="9"/>
        <v>36.216002195938579</v>
      </c>
    </row>
    <row r="76" spans="2:9" x14ac:dyDescent="0.25">
      <c r="B76">
        <f t="shared" si="10"/>
        <v>-14.5</v>
      </c>
      <c r="C76">
        <f t="shared" si="6"/>
        <v>-0.32222222222222224</v>
      </c>
      <c r="D76">
        <f t="shared" si="7"/>
        <v>0.73235665294924546</v>
      </c>
      <c r="E76">
        <f t="shared" si="8"/>
        <v>0.57839708391977329</v>
      </c>
      <c r="F76">
        <f t="shared" si="9"/>
        <v>42.876396174098382</v>
      </c>
    </row>
    <row r="77" spans="2:9" x14ac:dyDescent="0.25">
      <c r="B77">
        <f t="shared" si="10"/>
        <v>-13.5</v>
      </c>
      <c r="C77">
        <f t="shared" si="6"/>
        <v>-0.3</v>
      </c>
      <c r="D77">
        <f t="shared" si="7"/>
        <v>0.78400000000000003</v>
      </c>
      <c r="E77">
        <f t="shared" si="8"/>
        <v>0.66284648520710066</v>
      </c>
      <c r="F77">
        <f t="shared" si="9"/>
        <v>49.136604060559812</v>
      </c>
    </row>
    <row r="78" spans="2:9" x14ac:dyDescent="0.25">
      <c r="B78">
        <f t="shared" si="10"/>
        <v>-12.5</v>
      </c>
      <c r="C78">
        <f t="shared" si="6"/>
        <v>-0.27777777777777779</v>
      </c>
      <c r="D78">
        <f t="shared" si="7"/>
        <v>0.82853223593964331</v>
      </c>
      <c r="E78">
        <f t="shared" si="8"/>
        <v>0.74028619897565751</v>
      </c>
      <c r="F78">
        <f t="shared" si="9"/>
        <v>54.877185988545421</v>
      </c>
    </row>
    <row r="79" spans="2:9" x14ac:dyDescent="0.25">
      <c r="B79">
        <f t="shared" si="10"/>
        <v>-11.5</v>
      </c>
      <c r="C79">
        <f t="shared" si="6"/>
        <v>-0.25555555555555554</v>
      </c>
      <c r="D79">
        <f t="shared" si="7"/>
        <v>0.86648010973936906</v>
      </c>
      <c r="E79">
        <f t="shared" si="8"/>
        <v>0.80965131958344505</v>
      </c>
      <c r="F79">
        <f t="shared" si="9"/>
        <v>60.019200833585927</v>
      </c>
    </row>
    <row r="80" spans="2:9" x14ac:dyDescent="0.25">
      <c r="B80">
        <f t="shared" si="10"/>
        <v>-10.5</v>
      </c>
      <c r="C80">
        <f t="shared" si="6"/>
        <v>-0.23333333333333334</v>
      </c>
      <c r="D80">
        <f t="shared" si="7"/>
        <v>0.89837037037037037</v>
      </c>
      <c r="E80">
        <f t="shared" si="8"/>
        <v>0.87034546745562125</v>
      </c>
      <c r="F80">
        <f t="shared" si="9"/>
        <v>64.518439163040739</v>
      </c>
    </row>
    <row r="81" spans="2:6" x14ac:dyDescent="0.25">
      <c r="B81">
        <f t="shared" si="10"/>
        <v>-9.5</v>
      </c>
      <c r="C81">
        <f t="shared" si="6"/>
        <v>-0.21111111111111111</v>
      </c>
      <c r="D81">
        <f t="shared" si="7"/>
        <v>0.92472976680384089</v>
      </c>
      <c r="E81">
        <f t="shared" si="8"/>
        <v>0.92216897668038411</v>
      </c>
      <c r="F81">
        <f t="shared" si="9"/>
        <v>68.360099804886545</v>
      </c>
    </row>
    <row r="82" spans="2:6" x14ac:dyDescent="0.25">
      <c r="B82">
        <f t="shared" si="10"/>
        <v>-8.5</v>
      </c>
      <c r="C82">
        <f t="shared" si="6"/>
        <v>-0.18888888888888888</v>
      </c>
      <c r="D82">
        <f t="shared" si="7"/>
        <v>0.94608504801097393</v>
      </c>
      <c r="E82">
        <f t="shared" si="8"/>
        <v>0.96525306697185886</v>
      </c>
      <c r="F82">
        <f t="shared" si="9"/>
        <v>71.553910035773058</v>
      </c>
    </row>
    <row r="83" spans="2:6" x14ac:dyDescent="0.25">
      <c r="B83">
        <f t="shared" si="10"/>
        <v>-7.5</v>
      </c>
      <c r="C83">
        <f t="shared" si="6"/>
        <v>-0.16666666666666666</v>
      </c>
      <c r="D83">
        <f t="shared" si="7"/>
        <v>0.96296296296296302</v>
      </c>
      <c r="E83">
        <f t="shared" si="8"/>
        <v>1</v>
      </c>
      <c r="F83">
        <f t="shared" si="9"/>
        <v>74.129689388346847</v>
      </c>
    </row>
    <row r="84" spans="2:6" x14ac:dyDescent="0.25">
      <c r="B84">
        <f t="shared" si="10"/>
        <v>-6.5</v>
      </c>
      <c r="C84">
        <f t="shared" si="6"/>
        <v>-0.14444444444444443</v>
      </c>
      <c r="D84">
        <f t="shared" si="7"/>
        <v>0.97589026063100137</v>
      </c>
      <c r="E84">
        <f t="shared" si="8"/>
        <v>1.0270292200874993</v>
      </c>
      <c r="F84">
        <f t="shared" si="9"/>
        <v>76.133357077842433</v>
      </c>
    </row>
    <row r="85" spans="2:6" x14ac:dyDescent="0.25">
      <c r="B85">
        <f t="shared" si="10"/>
        <v>-5.5</v>
      </c>
      <c r="C85">
        <f t="shared" si="6"/>
        <v>-0.12222222222222222</v>
      </c>
      <c r="D85">
        <f t="shared" si="7"/>
        <v>0.98539368998628263</v>
      </c>
      <c r="E85">
        <f t="shared" si="8"/>
        <v>1.0471294792737071</v>
      </c>
      <c r="F85">
        <f t="shared" si="9"/>
        <v>77.623383047941289</v>
      </c>
    </row>
    <row r="86" spans="2:6" x14ac:dyDescent="0.25">
      <c r="B86">
        <f t="shared" si="10"/>
        <v>-4.5</v>
      </c>
      <c r="C86">
        <f t="shared" si="6"/>
        <v>-0.1</v>
      </c>
      <c r="D86">
        <f t="shared" si="7"/>
        <v>0.99199999999999999</v>
      </c>
      <c r="E86">
        <f t="shared" si="8"/>
        <v>1.0612169467455619</v>
      </c>
      <c r="F86">
        <f t="shared" si="9"/>
        <v>78.667682635898316</v>
      </c>
    </row>
    <row r="87" spans="2:6" x14ac:dyDescent="0.25">
      <c r="B87">
        <f t="shared" si="10"/>
        <v>-3.5</v>
      </c>
      <c r="C87">
        <f t="shared" si="6"/>
        <v>-7.7777777777777779E-2</v>
      </c>
      <c r="D87">
        <f t="shared" si="7"/>
        <v>0.996235939643347</v>
      </c>
      <c r="E87">
        <f t="shared" si="8"/>
        <v>1.0702993026355303</v>
      </c>
      <c r="F87">
        <f t="shared" si="9"/>
        <v>79.340954856936108</v>
      </c>
    </row>
    <row r="88" spans="2:6" x14ac:dyDescent="0.25">
      <c r="B88">
        <f t="shared" si="10"/>
        <v>-2.5</v>
      </c>
      <c r="C88">
        <f t="shared" si="6"/>
        <v>-5.5555555555555552E-2</v>
      </c>
      <c r="D88">
        <f t="shared" si="7"/>
        <v>0.99862825788751719</v>
      </c>
      <c r="E88">
        <f t="shared" si="8"/>
        <v>1.0754458161865568</v>
      </c>
      <c r="F88">
        <f t="shared" si="9"/>
        <v>79.722464307906606</v>
      </c>
    </row>
    <row r="89" spans="2:6" x14ac:dyDescent="0.25">
      <c r="B89">
        <f t="shared" si="10"/>
        <v>-1.5</v>
      </c>
      <c r="C89">
        <f t="shared" si="6"/>
        <v>-3.3333333333333333E-2</v>
      </c>
      <c r="D89">
        <f t="shared" si="7"/>
        <v>0.99970370370370365</v>
      </c>
      <c r="E89">
        <f t="shared" si="8"/>
        <v>1.0777634082840235</v>
      </c>
      <c r="F89">
        <f t="shared" si="9"/>
        <v>79.894266690220704</v>
      </c>
    </row>
    <row r="90" spans="2:6" x14ac:dyDescent="0.25">
      <c r="B90">
        <f t="shared" si="10"/>
        <v>-0.5</v>
      </c>
      <c r="C90">
        <f t="shared" si="6"/>
        <v>-1.1111111111111112E-2</v>
      </c>
      <c r="D90">
        <f t="shared" si="7"/>
        <v>0.99998902606310014</v>
      </c>
      <c r="E90">
        <f t="shared" si="8"/>
        <v>1.0783786983547212</v>
      </c>
      <c r="F90">
        <f t="shared" si="9"/>
        <v>79.939877952045265</v>
      </c>
    </row>
    <row r="91" spans="2:6" x14ac:dyDescent="0.25">
      <c r="B91">
        <f t="shared" si="10"/>
        <v>0.5</v>
      </c>
      <c r="C91">
        <f t="shared" si="6"/>
        <v>1.1111111111111112E-2</v>
      </c>
      <c r="D91">
        <f t="shared" si="7"/>
        <v>0.99998902606310014</v>
      </c>
      <c r="E91">
        <f t="shared" si="8"/>
        <v>1.0783786983547212</v>
      </c>
      <c r="F91">
        <f t="shared" si="9"/>
        <v>79.939877952045265</v>
      </c>
    </row>
    <row r="92" spans="2:6" x14ac:dyDescent="0.25">
      <c r="B92">
        <f t="shared" si="10"/>
        <v>1.5</v>
      </c>
      <c r="C92">
        <f t="shared" si="6"/>
        <v>3.3333333333333333E-2</v>
      </c>
      <c r="D92">
        <f t="shared" si="7"/>
        <v>0.99970370370370365</v>
      </c>
      <c r="E92">
        <f t="shared" si="8"/>
        <v>1.0777634082840235</v>
      </c>
      <c r="F92">
        <f t="shared" si="9"/>
        <v>79.894266690220704</v>
      </c>
    </row>
    <row r="93" spans="2:6" x14ac:dyDescent="0.25">
      <c r="B93">
        <f t="shared" si="10"/>
        <v>2.5</v>
      </c>
      <c r="C93">
        <f t="shared" si="6"/>
        <v>5.5555555555555552E-2</v>
      </c>
      <c r="D93">
        <f t="shared" si="7"/>
        <v>0.99862825788751719</v>
      </c>
      <c r="E93">
        <f t="shared" si="8"/>
        <v>1.0754458161865568</v>
      </c>
      <c r="F93">
        <f t="shared" si="9"/>
        <v>79.722464307906606</v>
      </c>
    </row>
    <row r="94" spans="2:6" x14ac:dyDescent="0.25">
      <c r="B94">
        <f t="shared" si="10"/>
        <v>3.5</v>
      </c>
      <c r="C94">
        <f t="shared" si="6"/>
        <v>7.7777777777777779E-2</v>
      </c>
      <c r="D94">
        <f t="shared" si="7"/>
        <v>0.996235939643347</v>
      </c>
      <c r="E94">
        <f t="shared" si="8"/>
        <v>1.0702993026355303</v>
      </c>
      <c r="F94">
        <f t="shared" si="9"/>
        <v>79.340954856936108</v>
      </c>
    </row>
    <row r="95" spans="2:6" x14ac:dyDescent="0.25">
      <c r="B95">
        <f t="shared" si="10"/>
        <v>4.5</v>
      </c>
      <c r="C95">
        <f t="shared" si="6"/>
        <v>0.1</v>
      </c>
      <c r="D95">
        <f t="shared" si="7"/>
        <v>0.99199999999999999</v>
      </c>
      <c r="E95">
        <f t="shared" si="8"/>
        <v>1.0612169467455619</v>
      </c>
      <c r="F95">
        <f t="shared" si="9"/>
        <v>78.667682635898316</v>
      </c>
    </row>
    <row r="96" spans="2:6" x14ac:dyDescent="0.25">
      <c r="B96">
        <f t="shared" si="10"/>
        <v>5.5</v>
      </c>
      <c r="C96">
        <f t="shared" si="6"/>
        <v>0.12222222222222222</v>
      </c>
      <c r="D96">
        <f t="shared" si="7"/>
        <v>0.98539368998628263</v>
      </c>
      <c r="E96">
        <f t="shared" si="8"/>
        <v>1.0471294792737071</v>
      </c>
      <c r="F96">
        <f t="shared" si="9"/>
        <v>77.623383047941289</v>
      </c>
    </row>
    <row r="97" spans="2:6" x14ac:dyDescent="0.25">
      <c r="B97">
        <f t="shared" si="10"/>
        <v>6.5</v>
      </c>
      <c r="C97">
        <f t="shared" si="6"/>
        <v>0.14444444444444443</v>
      </c>
      <c r="D97">
        <f t="shared" si="7"/>
        <v>0.97589026063100137</v>
      </c>
      <c r="E97">
        <f t="shared" si="8"/>
        <v>1.0270292200874993</v>
      </c>
      <c r="F97">
        <f t="shared" si="9"/>
        <v>76.133357077842433</v>
      </c>
    </row>
    <row r="98" spans="2:6" x14ac:dyDescent="0.25">
      <c r="B98">
        <f t="shared" si="10"/>
        <v>7.5</v>
      </c>
      <c r="C98">
        <f t="shared" si="6"/>
        <v>0.16666666666666666</v>
      </c>
      <c r="D98">
        <f t="shared" si="7"/>
        <v>0.96296296296296302</v>
      </c>
      <c r="E98">
        <f t="shared" si="8"/>
        <v>1</v>
      </c>
      <c r="F98">
        <f t="shared" si="9"/>
        <v>74.129689388346847</v>
      </c>
    </row>
    <row r="99" spans="2:6" x14ac:dyDescent="0.25">
      <c r="B99">
        <f t="shared" si="10"/>
        <v>8.5</v>
      </c>
      <c r="C99">
        <f t="shared" si="6"/>
        <v>0.18888888888888888</v>
      </c>
      <c r="D99">
        <f t="shared" si="7"/>
        <v>0.94608504801097393</v>
      </c>
      <c r="E99">
        <f t="shared" si="8"/>
        <v>0.96525306697185886</v>
      </c>
      <c r="F99">
        <f t="shared" si="9"/>
        <v>71.553910035773058</v>
      </c>
    </row>
    <row r="100" spans="2:6" x14ac:dyDescent="0.25">
      <c r="B100">
        <f t="shared" si="10"/>
        <v>9.5</v>
      </c>
      <c r="C100">
        <f t="shared" si="6"/>
        <v>0.21111111111111111</v>
      </c>
      <c r="D100">
        <f t="shared" si="7"/>
        <v>0.92472976680384089</v>
      </c>
      <c r="E100">
        <f t="shared" si="8"/>
        <v>0.92216897668038411</v>
      </c>
      <c r="F100">
        <f t="shared" si="9"/>
        <v>68.360099804886545</v>
      </c>
    </row>
    <row r="101" spans="2:6" x14ac:dyDescent="0.25">
      <c r="B101">
        <f t="shared" si="10"/>
        <v>10.5</v>
      </c>
      <c r="C101">
        <f t="shared" si="6"/>
        <v>0.23333333333333334</v>
      </c>
      <c r="D101">
        <f t="shared" si="7"/>
        <v>0.89837037037037037</v>
      </c>
      <c r="E101">
        <f t="shared" si="8"/>
        <v>0.87034546745562125</v>
      </c>
      <c r="F101">
        <f t="shared" si="9"/>
        <v>64.518439163040739</v>
      </c>
    </row>
    <row r="102" spans="2:6" x14ac:dyDescent="0.25">
      <c r="B102">
        <f t="shared" si="10"/>
        <v>11.5</v>
      </c>
      <c r="C102">
        <f t="shared" si="6"/>
        <v>0.25555555555555554</v>
      </c>
      <c r="D102">
        <f t="shared" si="7"/>
        <v>0.86648010973936906</v>
      </c>
      <c r="E102">
        <f t="shared" si="8"/>
        <v>0.80965131958344505</v>
      </c>
      <c r="F102">
        <f t="shared" si="9"/>
        <v>60.019200833585927</v>
      </c>
    </row>
    <row r="103" spans="2:6" x14ac:dyDescent="0.25">
      <c r="B103">
        <f t="shared" si="10"/>
        <v>12.5</v>
      </c>
      <c r="C103">
        <f t="shared" si="6"/>
        <v>0.27777777777777779</v>
      </c>
      <c r="D103">
        <f t="shared" si="7"/>
        <v>0.82853223593964331</v>
      </c>
      <c r="E103">
        <f t="shared" si="8"/>
        <v>0.74028619897565751</v>
      </c>
      <c r="F103">
        <f t="shared" si="9"/>
        <v>54.877185988545421</v>
      </c>
    </row>
    <row r="104" spans="2:6" x14ac:dyDescent="0.25">
      <c r="B104">
        <f t="shared" si="10"/>
        <v>13.5</v>
      </c>
      <c r="C104">
        <f t="shared" si="6"/>
        <v>0.3</v>
      </c>
      <c r="D104">
        <f t="shared" si="7"/>
        <v>0.78400000000000003</v>
      </c>
      <c r="E104">
        <f t="shared" si="8"/>
        <v>0.66284648520710066</v>
      </c>
      <c r="F104">
        <f t="shared" si="9"/>
        <v>49.136604060559812</v>
      </c>
    </row>
    <row r="105" spans="2:6" x14ac:dyDescent="0.25">
      <c r="B105">
        <f t="shared" si="10"/>
        <v>14.5</v>
      </c>
      <c r="C105">
        <f t="shared" si="6"/>
        <v>0.32222222222222224</v>
      </c>
      <c r="D105">
        <f t="shared" si="7"/>
        <v>0.73235665294924546</v>
      </c>
      <c r="E105">
        <f t="shared" si="8"/>
        <v>0.57839708391977329</v>
      </c>
      <c r="F105">
        <f t="shared" si="9"/>
        <v>42.876396174098382</v>
      </c>
    </row>
    <row r="106" spans="2:6" x14ac:dyDescent="0.25">
      <c r="B106">
        <f t="shared" si="10"/>
        <v>15.5</v>
      </c>
      <c r="C106">
        <f t="shared" si="6"/>
        <v>0.34444444444444444</v>
      </c>
      <c r="D106">
        <f t="shared" si="7"/>
        <v>0.6730754458161865</v>
      </c>
      <c r="E106">
        <f t="shared" si="8"/>
        <v>0.48854922359396419</v>
      </c>
      <c r="F106">
        <f t="shared" si="9"/>
        <v>36.216002195938579</v>
      </c>
    </row>
    <row r="107" spans="2:6" x14ac:dyDescent="0.25">
      <c r="B107">
        <f t="shared" si="10"/>
        <v>16.5</v>
      </c>
      <c r="C107">
        <f t="shared" si="6"/>
        <v>0.36666666666666664</v>
      </c>
      <c r="D107">
        <f t="shared" si="7"/>
        <v>0.60562962962962974</v>
      </c>
      <c r="E107">
        <f t="shared" si="8"/>
        <v>0.39554423668639066</v>
      </c>
      <c r="F107">
        <f t="shared" si="9"/>
        <v>29.321571404912888</v>
      </c>
    </row>
    <row r="108" spans="2:6" x14ac:dyDescent="0.25">
      <c r="B108">
        <f t="shared" si="10"/>
        <v>17.5</v>
      </c>
      <c r="C108">
        <f t="shared" si="6"/>
        <v>0.3888888888888889</v>
      </c>
      <c r="D108">
        <f t="shared" si="7"/>
        <v>0.5294924554183813</v>
      </c>
      <c r="E108">
        <f t="shared" si="8"/>
        <v>0.3023433251353479</v>
      </c>
      <c r="F108">
        <f t="shared" si="9"/>
        <v>22.412616780923301</v>
      </c>
    </row>
    <row r="109" spans="2:6" x14ac:dyDescent="0.25">
      <c r="B109">
        <f t="shared" si="10"/>
        <v>18.5</v>
      </c>
      <c r="C109">
        <f t="shared" si="6"/>
        <v>0.41111111111111109</v>
      </c>
      <c r="D109">
        <f t="shared" si="7"/>
        <v>0.44413717421124832</v>
      </c>
      <c r="E109">
        <f t="shared" si="8"/>
        <v>0.2127233102328715</v>
      </c>
      <c r="F109">
        <f t="shared" si="9"/>
        <v>15.769112913223708</v>
      </c>
    </row>
    <row r="110" spans="2:6" x14ac:dyDescent="0.25">
      <c r="B110">
        <f t="shared" si="10"/>
        <v>19.5</v>
      </c>
      <c r="C110">
        <f t="shared" si="6"/>
        <v>0.43333333333333335</v>
      </c>
      <c r="D110">
        <f t="shared" si="7"/>
        <v>0.34903703703703692</v>
      </c>
      <c r="E110">
        <f t="shared" si="8"/>
        <v>0.13137836686390522</v>
      </c>
      <c r="F110">
        <f t="shared" si="9"/>
        <v>9.7390375279695736</v>
      </c>
    </row>
    <row r="111" spans="2:6" x14ac:dyDescent="0.25">
      <c r="B111">
        <f t="shared" si="10"/>
        <v>20.5</v>
      </c>
      <c r="C111">
        <f t="shared" si="6"/>
        <v>0.45555555555555555</v>
      </c>
      <c r="D111">
        <f t="shared" si="7"/>
        <v>0.24366529492455424</v>
      </c>
      <c r="E111">
        <f t="shared" si="8"/>
        <v>6.4027742112482869E-2</v>
      </c>
      <c r="F111">
        <f t="shared" si="9"/>
        <v>4.7463566350355295</v>
      </c>
    </row>
    <row r="112" spans="2:6" x14ac:dyDescent="0.25">
      <c r="B112">
        <f t="shared" si="10"/>
        <v>21.5</v>
      </c>
      <c r="C112">
        <f t="shared" si="6"/>
        <v>0.4777777777777778</v>
      </c>
      <c r="D112">
        <f t="shared" si="7"/>
        <v>0.1274951989026063</v>
      </c>
      <c r="E112">
        <f t="shared" si="8"/>
        <v>1.752945823491692E-2</v>
      </c>
      <c r="F112">
        <f t="shared" si="9"/>
        <v>1.29945329410039</v>
      </c>
    </row>
    <row r="113" spans="2:6" x14ac:dyDescent="0.25">
      <c r="B113">
        <f t="shared" si="10"/>
        <v>22.5</v>
      </c>
      <c r="C113">
        <f t="shared" si="6"/>
        <v>0.5</v>
      </c>
      <c r="D113">
        <f t="shared" si="7"/>
        <v>0</v>
      </c>
      <c r="E113">
        <f t="shared" si="8"/>
        <v>0</v>
      </c>
      <c r="F113">
        <f t="shared" si="9"/>
        <v>0</v>
      </c>
    </row>
    <row r="114" spans="2:6" x14ac:dyDescent="0.25">
      <c r="B114">
        <f t="shared" si="10"/>
        <v>23.5</v>
      </c>
      <c r="C114">
        <f t="shared" si="6"/>
        <v>0.52222222222222225</v>
      </c>
      <c r="D114">
        <f t="shared" si="7"/>
        <v>-0.13934705075445852</v>
      </c>
      <c r="E114">
        <f t="shared" si="8"/>
        <v>2.0939986396214427E-2</v>
      </c>
      <c r="F114">
        <f t="shared" si="9"/>
        <v>1.5522746873475839</v>
      </c>
    </row>
    <row r="115" spans="2:6" x14ac:dyDescent="0.25">
      <c r="B115">
        <f t="shared" si="10"/>
        <v>24.5</v>
      </c>
      <c r="C115">
        <f t="shared" si="6"/>
        <v>0.5444444444444444</v>
      </c>
      <c r="D115">
        <f t="shared" si="7"/>
        <v>-0.29107270233196125</v>
      </c>
      <c r="E115">
        <f t="shared" si="8"/>
        <v>9.136582670595185E-2</v>
      </c>
      <c r="F115">
        <f t="shared" si="9"/>
        <v>6.7729203544217356</v>
      </c>
    </row>
    <row r="116" spans="2:6" x14ac:dyDescent="0.25">
      <c r="B116">
        <f t="shared" si="10"/>
        <v>25.5</v>
      </c>
      <c r="C116">
        <f t="shared" si="6"/>
        <v>0.56666666666666665</v>
      </c>
      <c r="D116">
        <f t="shared" si="7"/>
        <v>-0.4557037037037035</v>
      </c>
      <c r="E116">
        <f t="shared" si="8"/>
        <v>0.22394736094674536</v>
      </c>
      <c r="F116">
        <f t="shared" si="9"/>
        <v>16.60114830632223</v>
      </c>
    </row>
    <row r="117" spans="2:6" x14ac:dyDescent="0.25">
      <c r="B117">
        <f t="shared" si="10"/>
        <v>26.5</v>
      </c>
      <c r="C117">
        <f t="shared" si="6"/>
        <v>0.58888888888888891</v>
      </c>
      <c r="D117">
        <f t="shared" si="7"/>
        <v>-0.63376680384087836</v>
      </c>
      <c r="E117">
        <f t="shared" si="8"/>
        <v>0.43315148467950804</v>
      </c>
      <c r="F117">
        <f t="shared" si="9"/>
        <v>32.109385017393208</v>
      </c>
    </row>
    <row r="118" spans="2:6" x14ac:dyDescent="0.25">
      <c r="B118">
        <f t="shared" si="10"/>
        <v>27.5</v>
      </c>
      <c r="C118">
        <f t="shared" si="6"/>
        <v>0.61111111111111116</v>
      </c>
      <c r="D118">
        <f t="shared" si="7"/>
        <v>-0.82578875171467803</v>
      </c>
      <c r="E118">
        <f t="shared" si="8"/>
        <v>0.73539175818378155</v>
      </c>
      <c r="F118">
        <f t="shared" si="9"/>
        <v>54.514362612913999</v>
      </c>
    </row>
    <row r="119" spans="2:6" x14ac:dyDescent="0.25">
      <c r="B119">
        <f t="shared" si="10"/>
        <v>28.5</v>
      </c>
      <c r="C119">
        <f t="shared" si="6"/>
        <v>0.6333333333333333</v>
      </c>
      <c r="D119">
        <f t="shared" si="7"/>
        <v>-1.032296296296296</v>
      </c>
      <c r="E119">
        <f t="shared" si="8"/>
        <v>1.1491839999999993</v>
      </c>
      <c r="F119">
        <f t="shared" si="9"/>
        <v>85.18865297005793</v>
      </c>
    </row>
    <row r="120" spans="2:6" x14ac:dyDescent="0.25">
      <c r="B120">
        <f t="shared" si="10"/>
        <v>29.5</v>
      </c>
      <c r="C120">
        <f t="shared" si="6"/>
        <v>0.65555555555555556</v>
      </c>
      <c r="D120">
        <f t="shared" si="7"/>
        <v>-1.2538161865569273</v>
      </c>
      <c r="E120">
        <f t="shared" si="8"/>
        <v>1.6953078648387594</v>
      </c>
      <c r="F120">
        <f t="shared" si="9"/>
        <v>125.67264543811874</v>
      </c>
    </row>
    <row r="121" spans="2:6" x14ac:dyDescent="0.25">
      <c r="B121">
        <f t="shared" si="10"/>
        <v>30.5</v>
      </c>
      <c r="C121">
        <f t="shared" si="6"/>
        <v>0.67777777777777781</v>
      </c>
      <c r="D121">
        <f t="shared" si="7"/>
        <v>-1.4908751714677644</v>
      </c>
      <c r="E121">
        <f t="shared" si="8"/>
        <v>2.3969744058570961</v>
      </c>
      <c r="F121">
        <f t="shared" si="9"/>
        <v>177.68696817800375</v>
      </c>
    </row>
    <row r="122" spans="2:6" x14ac:dyDescent="0.25">
      <c r="B122">
        <f t="shared" si="10"/>
        <v>31.5</v>
      </c>
      <c r="C122">
        <f t="shared" si="6"/>
        <v>0.7</v>
      </c>
      <c r="D122">
        <f t="shared" si="7"/>
        <v>-1.7439999999999989</v>
      </c>
      <c r="E122">
        <f t="shared" si="8"/>
        <v>3.279999621301771</v>
      </c>
      <c r="F122">
        <f t="shared" si="9"/>
        <v>243.14535312099557</v>
      </c>
    </row>
    <row r="123" spans="2:6" x14ac:dyDescent="0.25">
      <c r="B123">
        <f t="shared" si="10"/>
        <v>32.5</v>
      </c>
      <c r="C123">
        <f t="shared" si="6"/>
        <v>0.72222222222222221</v>
      </c>
      <c r="D123">
        <f t="shared" si="7"/>
        <v>-2.0137174211248281</v>
      </c>
      <c r="E123">
        <f t="shared" si="8"/>
        <v>4.3729839855195953</v>
      </c>
      <c r="F123">
        <f t="shared" si="9"/>
        <v>324.16794454678262</v>
      </c>
    </row>
    <row r="124" spans="2:6" x14ac:dyDescent="0.25">
      <c r="B124">
        <f t="shared" si="10"/>
        <v>33.5</v>
      </c>
      <c r="C124">
        <f t="shared" si="6"/>
        <v>0.74444444444444446</v>
      </c>
      <c r="D124">
        <f t="shared" si="7"/>
        <v>-2.3005541838134431</v>
      </c>
      <c r="E124">
        <f t="shared" si="8"/>
        <v>5.7074979643347046</v>
      </c>
      <c r="F124">
        <f t="shared" si="9"/>
        <v>423.09505128075358</v>
      </c>
    </row>
    <row r="125" spans="2:6" x14ac:dyDescent="0.25">
      <c r="B125">
        <f t="shared" si="10"/>
        <v>34.5</v>
      </c>
      <c r="C125">
        <f t="shared" si="6"/>
        <v>0.76666666666666672</v>
      </c>
      <c r="D125">
        <f t="shared" si="7"/>
        <v>-2.6050370370370377</v>
      </c>
      <c r="E125">
        <f t="shared" si="8"/>
        <v>7.3182735147929021</v>
      </c>
      <c r="F125">
        <f t="shared" si="9"/>
        <v>542.50134251056318</v>
      </c>
    </row>
    <row r="126" spans="2:6" x14ac:dyDescent="0.25">
      <c r="B126">
        <f t="shared" si="10"/>
        <v>35.5</v>
      </c>
      <c r="C126">
        <f t="shared" si="6"/>
        <v>0.78888888888888886</v>
      </c>
      <c r="D126">
        <f t="shared" si="7"/>
        <v>-2.9276927297668034</v>
      </c>
      <c r="E126">
        <f t="shared" si="8"/>
        <v>9.2434015692729723</v>
      </c>
      <c r="F126">
        <f t="shared" si="9"/>
        <v>685.21048722196326</v>
      </c>
    </row>
    <row r="127" spans="2:6" x14ac:dyDescent="0.25">
      <c r="B127">
        <f t="shared" si="10"/>
        <v>36.5</v>
      </c>
      <c r="C127">
        <f t="shared" si="6"/>
        <v>0.81111111111111112</v>
      </c>
      <c r="D127">
        <f t="shared" si="7"/>
        <v>-3.269048010973937</v>
      </c>
      <c r="E127">
        <f t="shared" si="8"/>
        <v>11.524535503965065</v>
      </c>
      <c r="F127">
        <f t="shared" si="9"/>
        <v>854.3102372539056</v>
      </c>
    </row>
    <row r="128" spans="2:6" x14ac:dyDescent="0.25">
      <c r="B128">
        <f t="shared" si="10"/>
        <v>37.5</v>
      </c>
      <c r="C128">
        <f t="shared" si="6"/>
        <v>0.83333333333333337</v>
      </c>
      <c r="D128">
        <f t="shared" si="7"/>
        <v>-3.6296296296296298</v>
      </c>
      <c r="E128">
        <f t="shared" si="8"/>
        <v>14.207100591715975</v>
      </c>
      <c r="F128">
        <f t="shared" si="9"/>
        <v>1053.1679539729039</v>
      </c>
    </row>
    <row r="133" spans="2:17" x14ac:dyDescent="0.25">
      <c r="B133" t="s">
        <v>126</v>
      </c>
      <c r="N133" t="s">
        <v>127</v>
      </c>
    </row>
    <row r="134" spans="2:17" x14ac:dyDescent="0.25">
      <c r="B134" t="s">
        <v>128</v>
      </c>
      <c r="C134">
        <f>U10*P4</f>
        <v>67500</v>
      </c>
      <c r="E134" t="s">
        <v>129</v>
      </c>
      <c r="F134">
        <f>C136/C135</f>
        <v>0.65054263565891468</v>
      </c>
      <c r="O134" s="1" t="s">
        <v>130</v>
      </c>
      <c r="P134" s="1" t="s">
        <v>131</v>
      </c>
      <c r="Q134" s="1" t="s">
        <v>132</v>
      </c>
    </row>
    <row r="135" spans="2:17" x14ac:dyDescent="0.25">
      <c r="B135" t="s">
        <v>133</v>
      </c>
      <c r="C135">
        <v>12900</v>
      </c>
      <c r="E135" t="s">
        <v>134</v>
      </c>
      <c r="F135">
        <f>C135-C136</f>
        <v>4508</v>
      </c>
      <c r="N135" s="1" t="s">
        <v>135</v>
      </c>
    </row>
    <row r="136" spans="2:17" x14ac:dyDescent="0.25">
      <c r="B136" t="s">
        <v>136</v>
      </c>
      <c r="C136">
        <v>8392</v>
      </c>
      <c r="N136" t="s">
        <v>137</v>
      </c>
      <c r="O136">
        <v>1.6</v>
      </c>
      <c r="P136">
        <v>1.8</v>
      </c>
    </row>
    <row r="137" spans="2:17" x14ac:dyDescent="0.25">
      <c r="B137" t="s">
        <v>138</v>
      </c>
      <c r="C137">
        <f>(1/6.7)*C136</f>
        <v>1252.5373134328356</v>
      </c>
      <c r="D137">
        <f>1/6.7</f>
        <v>0.14925373134328357</v>
      </c>
      <c r="N137" t="s">
        <v>139</v>
      </c>
      <c r="O137">
        <v>800</v>
      </c>
      <c r="P137">
        <v>127</v>
      </c>
    </row>
    <row r="138" spans="2:17" x14ac:dyDescent="0.25">
      <c r="N138" t="s">
        <v>140</v>
      </c>
      <c r="O138">
        <v>4</v>
      </c>
      <c r="P138">
        <v>2.8</v>
      </c>
      <c r="Q138" t="s">
        <v>141</v>
      </c>
    </row>
    <row r="139" spans="2:17" x14ac:dyDescent="0.25">
      <c r="B139" t="s">
        <v>142</v>
      </c>
      <c r="N139" t="s">
        <v>143</v>
      </c>
      <c r="O139">
        <v>25</v>
      </c>
    </row>
    <row r="140" spans="2:17" x14ac:dyDescent="0.25">
      <c r="B140" t="s">
        <v>49</v>
      </c>
      <c r="C140" t="s">
        <v>16</v>
      </c>
      <c r="N140" t="s">
        <v>144</v>
      </c>
      <c r="O140">
        <v>5</v>
      </c>
      <c r="P140">
        <v>15.9</v>
      </c>
      <c r="Q140" t="s">
        <v>145</v>
      </c>
    </row>
    <row r="141" spans="2:17" x14ac:dyDescent="0.25">
      <c r="B141" t="s">
        <v>146</v>
      </c>
      <c r="C141">
        <f>0.5*(58.29112/12)*(313.3152/12)</f>
        <v>63.414909447999996</v>
      </c>
    </row>
    <row r="142" spans="2:17" x14ac:dyDescent="0.25">
      <c r="B142" t="s">
        <v>30</v>
      </c>
      <c r="C142">
        <f>16.192*(58.29112/12)</f>
        <v>78.654151253333325</v>
      </c>
      <c r="N142" s="1" t="s">
        <v>147</v>
      </c>
    </row>
    <row r="143" spans="2:17" x14ac:dyDescent="0.25">
      <c r="B143" t="s">
        <v>148</v>
      </c>
      <c r="C143">
        <f>P4</f>
        <v>675</v>
      </c>
      <c r="N143" t="s">
        <v>149</v>
      </c>
      <c r="O143">
        <v>60</v>
      </c>
      <c r="P143" t="s">
        <v>150</v>
      </c>
    </row>
    <row r="144" spans="2:17" x14ac:dyDescent="0.25">
      <c r="B144" t="s">
        <v>25</v>
      </c>
      <c r="N144" t="s">
        <v>151</v>
      </c>
      <c r="O144">
        <v>200</v>
      </c>
      <c r="P144">
        <v>100</v>
      </c>
    </row>
    <row r="145" spans="2:16" x14ac:dyDescent="0.25">
      <c r="B145" t="s">
        <v>152</v>
      </c>
      <c r="N145" t="s">
        <v>153</v>
      </c>
      <c r="O145">
        <v>50</v>
      </c>
      <c r="P145">
        <v>-160</v>
      </c>
    </row>
    <row r="146" spans="2:16" x14ac:dyDescent="0.25">
      <c r="N146" t="s">
        <v>154</v>
      </c>
      <c r="O146">
        <v>700</v>
      </c>
      <c r="P146">
        <v>1300</v>
      </c>
    </row>
    <row r="147" spans="2:16" x14ac:dyDescent="0.25">
      <c r="N147" t="s">
        <v>155</v>
      </c>
      <c r="O147">
        <v>400</v>
      </c>
      <c r="P147">
        <v>710</v>
      </c>
    </row>
    <row r="148" spans="2:16" x14ac:dyDescent="0.25">
      <c r="N148" t="s">
        <v>156</v>
      </c>
      <c r="O148">
        <v>300</v>
      </c>
      <c r="P148">
        <v>1300</v>
      </c>
    </row>
    <row r="149" spans="2:16" x14ac:dyDescent="0.25">
      <c r="N149" t="s">
        <v>157</v>
      </c>
      <c r="O149">
        <v>50</v>
      </c>
      <c r="P149">
        <v>710</v>
      </c>
    </row>
    <row r="151" spans="2:16" x14ac:dyDescent="0.25">
      <c r="N151" s="1" t="s">
        <v>158</v>
      </c>
    </row>
    <row r="152" spans="2:16" x14ac:dyDescent="0.25">
      <c r="N152" t="s">
        <v>159</v>
      </c>
      <c r="P152">
        <f>C135/P4</f>
        <v>19.111111111111111</v>
      </c>
    </row>
    <row r="153" spans="2:16" x14ac:dyDescent="0.25">
      <c r="N153" t="s">
        <v>160</v>
      </c>
      <c r="P153">
        <v>19500</v>
      </c>
    </row>
    <row r="154" spans="2:16" x14ac:dyDescent="0.25">
      <c r="N154" t="s">
        <v>161</v>
      </c>
      <c r="P154">
        <v>0.13</v>
      </c>
    </row>
    <row r="155" spans="2:16" x14ac:dyDescent="0.25">
      <c r="N155" t="s">
        <v>162</v>
      </c>
      <c r="P155">
        <v>35500</v>
      </c>
    </row>
    <row r="156" spans="2:16" x14ac:dyDescent="0.25">
      <c r="N156" t="s">
        <v>163</v>
      </c>
      <c r="P156">
        <v>2.0699999999999998</v>
      </c>
    </row>
    <row r="157" spans="2:16" x14ac:dyDescent="0.25">
      <c r="N157" t="s">
        <v>164</v>
      </c>
      <c r="P157">
        <v>1.1000000000000001</v>
      </c>
    </row>
    <row r="158" spans="2:16" x14ac:dyDescent="0.25">
      <c r="N158" t="s">
        <v>165</v>
      </c>
      <c r="P158">
        <v>1.2E-2</v>
      </c>
    </row>
    <row r="159" spans="2:16" x14ac:dyDescent="0.25">
      <c r="N159" t="s">
        <v>166</v>
      </c>
      <c r="P159">
        <v>1.2999999999999999E-2</v>
      </c>
    </row>
  </sheetData>
  <conditionalFormatting sqref="P136:P149">
    <cfRule type="expression" dxfId="2" priority="2">
      <formula>$P136&gt;$O136</formula>
    </cfRule>
    <cfRule type="expression" dxfId="1" priority="3">
      <formula>$P136&lt;$O136</formula>
    </cfRule>
  </conditionalFormatting>
  <conditionalFormatting sqref="P139">
    <cfRule type="expression" dxfId="0" priority="1">
      <formula>$P139&gt;$O139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F-16A Block 50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Chamberlain, Casey</dc:creator>
  <cp:lastModifiedBy>Chamberlain, Casey</cp:lastModifiedBy>
  <dcterms:created xsi:type="dcterms:W3CDTF">2026-03-03T14:01:29Z</dcterms:created>
  <dcterms:modified xsi:type="dcterms:W3CDTF">2026-03-03T14:39:08Z</dcterms:modified>
</cp:coreProperties>
</file>